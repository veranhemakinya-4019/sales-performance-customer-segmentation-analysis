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ocuments\sales-performance-customer-segmentation-analysis\excel\"/>
    </mc:Choice>
  </mc:AlternateContent>
  <bookViews>
    <workbookView xWindow="0" yWindow="0" windowWidth="19180" windowHeight="7260" activeTab="1"/>
  </bookViews>
  <sheets>
    <sheet name="Load Data" sheetId="1" r:id="rId1"/>
    <sheet name="Pivot Table" sheetId="2" r:id="rId2"/>
    <sheet name="Dashboard" sheetId="4" r:id="rId3"/>
  </sheets>
  <definedNames>
    <definedName name="_xlcn.WorksheetConnection_Book1Table_sales_dashboard_data" hidden="1">Table_sales_dashboard_data[]</definedName>
    <definedName name="sales_dashboard_data" localSheetId="0" hidden="1">'Load Data'!$A$1:$I$204</definedName>
    <definedName name="Slicer_category">#N/A</definedName>
    <definedName name="Slicer_region">#N/A</definedName>
    <definedName name="Slicer_segment">#N/A</definedName>
  </definedNames>
  <calcPr calcId="162913"/>
  <pivotCaches>
    <pivotCache cacheId="0" r:id="rId4"/>
    <pivotCache cacheId="1" r:id="rId5"/>
    <pivotCache cacheId="2" r:id="rId6"/>
    <pivotCache cacheId="3"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ales_dashboard_data" name="Table_sales_dashboard_data" connection="WorksheetConnection_Book1!Table_sales_dashboard_data"/>
          <x15:modelTable id="sales_dashboard_data" name="sales_dashboard_data" connection="sales_dashboard_data"/>
        </x15:modelTables>
      </x15:dataModel>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alcChain>
</file>

<file path=xl/connections.xml><?xml version="1.0" encoding="utf-8"?>
<connections xmlns="http://schemas.openxmlformats.org/spreadsheetml/2006/main">
  <connection id="1" keepAlive="1" name="ModelConnection_sales_dashboard_data" description="Data Model" type="5" refreshedVersion="6" minRefreshableVersion="5" saveData="1">
    <dbPr connection="Data Model Connection" command="sales_dashboard_data" commandType="3"/>
    <extLst>
      <ext xmlns:x15="http://schemas.microsoft.com/office/spreadsheetml/2010/11/main" uri="{DE250136-89BD-433C-8126-D09CA5730AF9}">
        <x15:connection id="" model="1"/>
      </ext>
    </extLst>
  </connection>
  <connection id="2" name="sales_dashboard_data" type="103" refreshedVersion="6" minRefreshableVersion="5">
    <extLst>
      <ext xmlns:x15="http://schemas.microsoft.com/office/spreadsheetml/2010/11/main" uri="{DE250136-89BD-433C-8126-D09CA5730AF9}">
        <x15:connection id="sales_dashboard_data" autoDelete="1">
          <x15:textPr codePage="437" sourceFile="C:\Users\dell\Documents\sales-performance-customer-segmentation-analysis\data\cleaned\sales_dashboard_data.csv" space="1" comma="1" semicolon="1" consecutive="1">
            <textFields count="8">
              <textField type="text"/>
              <textField/>
              <textField/>
              <textField/>
              <textField/>
              <textField/>
              <textField/>
              <textField/>
            </textFields>
          </x15:textPr>
          <x15:modelTextPr headers="1"/>
        </x15:connection>
      </ext>
    </extLst>
  </connection>
  <connection id="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name="WorksheetConnection_Book1!Table_sales_dashboard_data" type="102" refreshedVersion="6" minRefreshableVersion="5">
    <extLst>
      <ext xmlns:x15="http://schemas.microsoft.com/office/spreadsheetml/2010/11/main" uri="{DE250136-89BD-433C-8126-D09CA5730AF9}">
        <x15:connection id="Table_sales_dashboard_data">
          <x15:rangePr sourceName="_xlcn.WorksheetConnection_Book1Table_sales_dashboard_data"/>
        </x15:connection>
      </ext>
    </extLst>
  </connection>
</connections>
</file>

<file path=xl/sharedStrings.xml><?xml version="1.0" encoding="utf-8"?>
<sst xmlns="http://schemas.openxmlformats.org/spreadsheetml/2006/main" count="874" uniqueCount="50">
  <si>
    <t>region</t>
  </si>
  <si>
    <t>category</t>
  </si>
  <si>
    <t>sub_category</t>
  </si>
  <si>
    <t>segment</t>
  </si>
  <si>
    <t>total_sales</t>
  </si>
  <si>
    <t>total_profit</t>
  </si>
  <si>
    <t>total_quantity</t>
  </si>
  <si>
    <t>avg_discount</t>
  </si>
  <si>
    <t>East</t>
  </si>
  <si>
    <t>Furniture</t>
  </si>
  <si>
    <t>Chairs</t>
  </si>
  <si>
    <t>Consumer</t>
  </si>
  <si>
    <t>Technology</t>
  </si>
  <si>
    <t>Phones</t>
  </si>
  <si>
    <t>West</t>
  </si>
  <si>
    <t>Central</t>
  </si>
  <si>
    <t>Tables</t>
  </si>
  <si>
    <t>Office Supplies</t>
  </si>
  <si>
    <t>Binders</t>
  </si>
  <si>
    <t>Corporate</t>
  </si>
  <si>
    <t>Storage</t>
  </si>
  <si>
    <t>Accessories</t>
  </si>
  <si>
    <t>South</t>
  </si>
  <si>
    <t>Machines</t>
  </si>
  <si>
    <t>Copiers</t>
  </si>
  <si>
    <t>Bookcases</t>
  </si>
  <si>
    <t>Home Office</t>
  </si>
  <si>
    <t>Appliances</t>
  </si>
  <si>
    <t>Furnishings</t>
  </si>
  <si>
    <t>Paper</t>
  </si>
  <si>
    <t>Supplies</t>
  </si>
  <si>
    <t>Art</t>
  </si>
  <si>
    <t>Labels</t>
  </si>
  <si>
    <t>Envelopes</t>
  </si>
  <si>
    <t>Fasteners</t>
  </si>
  <si>
    <t>Grand Total</t>
  </si>
  <si>
    <t>Sum of total_sales</t>
  </si>
  <si>
    <t>Sum of total_profit</t>
  </si>
  <si>
    <t>Pivot 1: Sales by Region</t>
  </si>
  <si>
    <t>Pivot 2: Sales by Category</t>
  </si>
  <si>
    <t>Region</t>
  </si>
  <si>
    <t>Category</t>
  </si>
  <si>
    <t>Pivot 3: Sub-Category Performance</t>
  </si>
  <si>
    <t>Sub-Category</t>
  </si>
  <si>
    <t>Segment</t>
  </si>
  <si>
    <t>Pivot 4: Customer Segment</t>
  </si>
  <si>
    <t>month</t>
  </si>
  <si>
    <t>Total Sales</t>
  </si>
  <si>
    <t>=SUM(Table1[Profit])</t>
  </si>
  <si>
    <t>=SUM(Table1[Sales])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</si>
</sst>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6"/>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0" xfId="0" quotePrefix="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Table!PivotTable1</c:name>
    <c:fmtId val="1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Sales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4274781277340332"/>
          <c:y val="0.23550707203266255"/>
          <c:w val="0.43016316710411201"/>
          <c:h val="0.6293157626130067"/>
        </c:manualLayout>
      </c:layout>
      <c:barChart>
        <c:barDir val="bar"/>
        <c:grouping val="clustered"/>
        <c:varyColors val="0"/>
        <c:ser>
          <c:idx val="0"/>
          <c:order val="0"/>
          <c:tx>
            <c:strRef>
              <c:f>'Pivot Table'!$B$2</c:f>
              <c:strCache>
                <c:ptCount val="1"/>
                <c:pt idx="0">
                  <c:v>Sum of total_sales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Table'!$A$3:$A$7</c:f>
              <c:strCache>
                <c:ptCount val="4"/>
                <c:pt idx="0">
                  <c:v>Central</c:v>
                </c:pt>
                <c:pt idx="1">
                  <c:v>East</c:v>
                </c:pt>
                <c:pt idx="2">
                  <c:v>South</c:v>
                </c:pt>
                <c:pt idx="3">
                  <c:v>West</c:v>
                </c:pt>
              </c:strCache>
            </c:strRef>
          </c:cat>
          <c:val>
            <c:numRef>
              <c:f>'Pivot Table'!$B$3:$B$7</c:f>
              <c:numCache>
                <c:formatCode>General</c:formatCode>
                <c:ptCount val="4"/>
                <c:pt idx="0">
                  <c:v>501239.89080000005</c:v>
                </c:pt>
                <c:pt idx="1">
                  <c:v>678781.24</c:v>
                </c:pt>
                <c:pt idx="2">
                  <c:v>391721.90499999991</c:v>
                </c:pt>
                <c:pt idx="3">
                  <c:v>725457.82449999987</c:v>
                </c:pt>
              </c:numCache>
            </c:numRef>
          </c:val>
          <c:extLst>
            <c:ext xmlns:c16="http://schemas.microsoft.com/office/drawing/2014/chart" uri="{C3380CC4-5D6E-409C-BE32-E72D297353CC}">
              <c16:uniqueId val="{00000000-42AE-4087-9EE6-8CBE65E872BD}"/>
            </c:ext>
          </c:extLst>
        </c:ser>
        <c:ser>
          <c:idx val="1"/>
          <c:order val="1"/>
          <c:tx>
            <c:strRef>
              <c:f>'Pivot Table'!$C$2</c:f>
              <c:strCache>
                <c:ptCount val="1"/>
                <c:pt idx="0">
                  <c:v>Sum of total_profit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Table'!$A$3:$A$7</c:f>
              <c:strCache>
                <c:ptCount val="4"/>
                <c:pt idx="0">
                  <c:v>Central</c:v>
                </c:pt>
                <c:pt idx="1">
                  <c:v>East</c:v>
                </c:pt>
                <c:pt idx="2">
                  <c:v>South</c:v>
                </c:pt>
                <c:pt idx="3">
                  <c:v>West</c:v>
                </c:pt>
              </c:strCache>
            </c:strRef>
          </c:cat>
          <c:val>
            <c:numRef>
              <c:f>'Pivot Table'!$C$3:$C$7</c:f>
              <c:numCache>
                <c:formatCode>General</c:formatCode>
                <c:ptCount val="4"/>
                <c:pt idx="0">
                  <c:v>39706.362499999988</c:v>
                </c:pt>
                <c:pt idx="1">
                  <c:v>91522.78</c:v>
                </c:pt>
                <c:pt idx="2">
                  <c:v>46749.430299999993</c:v>
                </c:pt>
                <c:pt idx="3">
                  <c:v>108418.44890000002</c:v>
                </c:pt>
              </c:numCache>
            </c:numRef>
          </c:val>
          <c:extLst>
            <c:ext xmlns:c16="http://schemas.microsoft.com/office/drawing/2014/chart" uri="{C3380CC4-5D6E-409C-BE32-E72D297353CC}">
              <c16:uniqueId val="{00000001-42AE-4087-9EE6-8CBE65E872BD}"/>
            </c:ext>
          </c:extLst>
        </c:ser>
        <c:dLbls>
          <c:dLblPos val="outEnd"/>
          <c:showLegendKey val="0"/>
          <c:showVal val="1"/>
          <c:showCatName val="0"/>
          <c:showSerName val="0"/>
          <c:showPercent val="0"/>
          <c:showBubbleSize val="0"/>
        </c:dLbls>
        <c:gapWidth val="182"/>
        <c:axId val="2028417728"/>
        <c:axId val="2033676048"/>
      </c:barChart>
      <c:catAx>
        <c:axId val="202841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33676048"/>
        <c:crosses val="autoZero"/>
        <c:auto val="1"/>
        <c:lblAlgn val="ctr"/>
        <c:lblOffset val="100"/>
        <c:noMultiLvlLbl val="0"/>
      </c:catAx>
      <c:valAx>
        <c:axId val="203367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84177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ysClr val="windowText" lastClr="000000"/>
                </a:solidFill>
              </a:rPr>
              <a:t>Category Performance</a:t>
            </a:r>
            <a:endParaRPr lang="en-US">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Table'!$B$11</c:f>
              <c:strCache>
                <c:ptCount val="1"/>
                <c:pt idx="0">
                  <c:v>Sum of total_sales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Table'!$A$12:$A$15</c:f>
              <c:strCache>
                <c:ptCount val="3"/>
                <c:pt idx="0">
                  <c:v>Furniture</c:v>
                </c:pt>
                <c:pt idx="1">
                  <c:v>Office Supplies</c:v>
                </c:pt>
                <c:pt idx="2">
                  <c:v>Technology</c:v>
                </c:pt>
              </c:strCache>
            </c:strRef>
          </c:cat>
          <c:val>
            <c:numRef>
              <c:f>'Pivot Table'!$B$12:$B$15</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0-42BA-4C0F-B183-E00C6917BACD}"/>
            </c:ext>
          </c:extLst>
        </c:ser>
        <c:ser>
          <c:idx val="1"/>
          <c:order val="1"/>
          <c:tx>
            <c:strRef>
              <c:f>'Pivot Table'!$C$11</c:f>
              <c:strCache>
                <c:ptCount val="1"/>
                <c:pt idx="0">
                  <c:v>Sum of total_profit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Table'!$A$12:$A$15</c:f>
              <c:strCache>
                <c:ptCount val="3"/>
                <c:pt idx="0">
                  <c:v>Furniture</c:v>
                </c:pt>
                <c:pt idx="1">
                  <c:v>Office Supplies</c:v>
                </c:pt>
                <c:pt idx="2">
                  <c:v>Technology</c:v>
                </c:pt>
              </c:strCache>
            </c:strRef>
          </c:cat>
          <c:val>
            <c:numRef>
              <c:f>'Pivot Table'!$C$12:$C$15</c:f>
              <c:numCache>
                <c:formatCode>General</c:formatCode>
                <c:ptCount val="3"/>
                <c:pt idx="0">
                  <c:v>18451.272799999999</c:v>
                </c:pt>
                <c:pt idx="1">
                  <c:v>122490.8008</c:v>
                </c:pt>
                <c:pt idx="2">
                  <c:v>145454.94810000001</c:v>
                </c:pt>
              </c:numCache>
            </c:numRef>
          </c:val>
          <c:extLst>
            <c:ext xmlns:c16="http://schemas.microsoft.com/office/drawing/2014/chart" uri="{C3380CC4-5D6E-409C-BE32-E72D297353CC}">
              <c16:uniqueId val="{00000001-42BA-4C0F-B183-E00C6917BACD}"/>
            </c:ext>
          </c:extLst>
        </c:ser>
        <c:dLbls>
          <c:dLblPos val="outEnd"/>
          <c:showLegendKey val="0"/>
          <c:showVal val="1"/>
          <c:showCatName val="0"/>
          <c:showSerName val="0"/>
          <c:showPercent val="0"/>
          <c:showBubbleSize val="0"/>
        </c:dLbls>
        <c:gapWidth val="219"/>
        <c:overlap val="-27"/>
        <c:axId val="1863367056"/>
        <c:axId val="1863373296"/>
      </c:barChart>
      <c:catAx>
        <c:axId val="18633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73296"/>
        <c:crosses val="autoZero"/>
        <c:auto val="1"/>
        <c:lblAlgn val="ctr"/>
        <c:lblOffset val="100"/>
        <c:noMultiLvlLbl val="0"/>
      </c:catAx>
      <c:valAx>
        <c:axId val="186337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67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0.21960411198600174"/>
          <c:y val="0.21247047244094489"/>
          <c:w val="0.51719575678040253"/>
          <c:h val="0.68013013998250216"/>
        </c:manualLayout>
      </c:layout>
      <c:barChart>
        <c:barDir val="bar"/>
        <c:grouping val="clustered"/>
        <c:varyColors val="0"/>
        <c:ser>
          <c:idx val="0"/>
          <c:order val="0"/>
          <c:tx>
            <c:strRef>
              <c:f>'Pivot Table'!$B$18</c:f>
              <c:strCache>
                <c:ptCount val="1"/>
                <c:pt idx="0">
                  <c:v>Sum of total_sales</c:v>
                </c:pt>
              </c:strCache>
            </c:strRef>
          </c:tx>
          <c:spPr>
            <a:solidFill>
              <a:schemeClr val="accent1"/>
            </a:solidFill>
            <a:ln>
              <a:noFill/>
            </a:ln>
            <a:effectLst/>
          </c:spPr>
          <c:invertIfNegative val="0"/>
          <c:cat>
            <c:strRef>
              <c:f>'Pivot Table'!$A$19:$A$36</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 Table'!$B$19:$B$36</c:f>
              <c:numCache>
                <c:formatCode>General</c:formatCode>
                <c:ptCount val="17"/>
                <c:pt idx="0">
                  <c:v>3024.28</c:v>
                </c:pt>
                <c:pt idx="1">
                  <c:v>12486.312</c:v>
                </c:pt>
                <c:pt idx="2">
                  <c:v>16476.401999999998</c:v>
                </c:pt>
                <c:pt idx="3">
                  <c:v>27118.792000000001</c:v>
                </c:pt>
                <c:pt idx="4">
                  <c:v>46673.538</c:v>
                </c:pt>
                <c:pt idx="5">
                  <c:v>78479.206000000006</c:v>
                </c:pt>
                <c:pt idx="6">
                  <c:v>91705.164000000004</c:v>
                </c:pt>
                <c:pt idx="7">
                  <c:v>107532.16099999999</c:v>
                </c:pt>
                <c:pt idx="8">
                  <c:v>114879.9963</c:v>
                </c:pt>
                <c:pt idx="9">
                  <c:v>149528.03</c:v>
                </c:pt>
                <c:pt idx="10">
                  <c:v>167380.318</c:v>
                </c:pt>
                <c:pt idx="11">
                  <c:v>189238.63099999999</c:v>
                </c:pt>
                <c:pt idx="12">
                  <c:v>203412.73300000001</c:v>
                </c:pt>
                <c:pt idx="13">
                  <c:v>206965.53200000001</c:v>
                </c:pt>
                <c:pt idx="14">
                  <c:v>223843.60800000001</c:v>
                </c:pt>
                <c:pt idx="15">
                  <c:v>328449.103</c:v>
                </c:pt>
                <c:pt idx="16">
                  <c:v>330007.054</c:v>
                </c:pt>
              </c:numCache>
            </c:numRef>
          </c:val>
          <c:extLst>
            <c:ext xmlns:c16="http://schemas.microsoft.com/office/drawing/2014/chart" uri="{C3380CC4-5D6E-409C-BE32-E72D297353CC}">
              <c16:uniqueId val="{00000000-DFAA-4777-BC5C-E61764155578}"/>
            </c:ext>
          </c:extLst>
        </c:ser>
        <c:ser>
          <c:idx val="1"/>
          <c:order val="1"/>
          <c:tx>
            <c:strRef>
              <c:f>'Pivot Table'!$C$18</c:f>
              <c:strCache>
                <c:ptCount val="1"/>
                <c:pt idx="0">
                  <c:v>Sum of total_profit</c:v>
                </c:pt>
              </c:strCache>
            </c:strRef>
          </c:tx>
          <c:spPr>
            <a:solidFill>
              <a:schemeClr val="accent2"/>
            </a:solidFill>
            <a:ln>
              <a:noFill/>
            </a:ln>
            <a:effectLst/>
          </c:spPr>
          <c:invertIfNegative val="0"/>
          <c:cat>
            <c:strRef>
              <c:f>'Pivot Table'!$A$19:$A$36</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 Table'!$C$19:$C$36</c:f>
              <c:numCache>
                <c:formatCode>General</c:formatCode>
                <c:ptCount val="17"/>
                <c:pt idx="0">
                  <c:v>949.51819999999998</c:v>
                </c:pt>
                <c:pt idx="1">
                  <c:v>5546.2539999999999</c:v>
                </c:pt>
                <c:pt idx="2">
                  <c:v>6964.1767</c:v>
                </c:pt>
                <c:pt idx="3">
                  <c:v>6527.7870000000003</c:v>
                </c:pt>
                <c:pt idx="4">
                  <c:v>-1189.0995</c:v>
                </c:pt>
                <c:pt idx="5">
                  <c:v>34053.569300000003</c:v>
                </c:pt>
                <c:pt idx="6">
                  <c:v>13059.143599999999</c:v>
                </c:pt>
                <c:pt idx="7">
                  <c:v>18138.005399999998</c:v>
                </c:pt>
                <c:pt idx="8">
                  <c:v>-3472.556</c:v>
                </c:pt>
                <c:pt idx="9">
                  <c:v>55617.8249</c:v>
                </c:pt>
                <c:pt idx="10">
                  <c:v>41936.635699999999</c:v>
                </c:pt>
                <c:pt idx="11">
                  <c:v>3384.7568999999999</c:v>
                </c:pt>
                <c:pt idx="12">
                  <c:v>30221.763299999999</c:v>
                </c:pt>
                <c:pt idx="13">
                  <c:v>-17725.481100000001</c:v>
                </c:pt>
                <c:pt idx="14">
                  <c:v>21278.826400000002</c:v>
                </c:pt>
                <c:pt idx="15">
                  <c:v>26590.166300000001</c:v>
                </c:pt>
                <c:pt idx="16">
                  <c:v>44515.730600000003</c:v>
                </c:pt>
              </c:numCache>
            </c:numRef>
          </c:val>
          <c:extLst>
            <c:ext xmlns:c16="http://schemas.microsoft.com/office/drawing/2014/chart" uri="{C3380CC4-5D6E-409C-BE32-E72D297353CC}">
              <c16:uniqueId val="{00000001-DFAA-4777-BC5C-E61764155578}"/>
            </c:ext>
          </c:extLst>
        </c:ser>
        <c:dLbls>
          <c:showLegendKey val="0"/>
          <c:showVal val="0"/>
          <c:showCatName val="0"/>
          <c:showSerName val="0"/>
          <c:showPercent val="0"/>
          <c:showBubbleSize val="0"/>
        </c:dLbls>
        <c:gapWidth val="182"/>
        <c:axId val="1863375376"/>
        <c:axId val="1863375792"/>
      </c:barChart>
      <c:catAx>
        <c:axId val="186337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75792"/>
        <c:crosses val="autoZero"/>
        <c:auto val="1"/>
        <c:lblAlgn val="ctr"/>
        <c:lblOffset val="100"/>
        <c:noMultiLvlLbl val="0"/>
      </c:catAx>
      <c:valAx>
        <c:axId val="1863375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7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Table'!$B$39</c:f>
              <c:strCache>
                <c:ptCount val="1"/>
                <c:pt idx="0">
                  <c:v>Sum of total_sales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Table'!$A$40:$A$43</c:f>
              <c:strCache>
                <c:ptCount val="3"/>
                <c:pt idx="0">
                  <c:v>Consumer</c:v>
                </c:pt>
                <c:pt idx="1">
                  <c:v>Corporate</c:v>
                </c:pt>
                <c:pt idx="2">
                  <c:v>Home Office</c:v>
                </c:pt>
              </c:strCache>
            </c:strRef>
          </c:cat>
          <c:val>
            <c:numRef>
              <c:f>'Pivot Table'!$B$40:$B$43</c:f>
              <c:numCache>
                <c:formatCode>General</c:formatCode>
                <c:ptCount val="3"/>
                <c:pt idx="0">
                  <c:v>1161401.345</c:v>
                </c:pt>
                <c:pt idx="1">
                  <c:v>706146.36679999996</c:v>
                </c:pt>
                <c:pt idx="2">
                  <c:v>429653.14850000001</c:v>
                </c:pt>
              </c:numCache>
            </c:numRef>
          </c:val>
          <c:extLst>
            <c:ext xmlns:c16="http://schemas.microsoft.com/office/drawing/2014/chart" uri="{C3380CC4-5D6E-409C-BE32-E72D297353CC}">
              <c16:uniqueId val="{00000000-075B-4E11-88DA-BCD65ED29A6D}"/>
            </c:ext>
          </c:extLst>
        </c:ser>
        <c:ser>
          <c:idx val="1"/>
          <c:order val="1"/>
          <c:tx>
            <c:strRef>
              <c:f>'Pivot Table'!$C$39</c:f>
              <c:strCache>
                <c:ptCount val="1"/>
                <c:pt idx="0">
                  <c:v>Sum of total_profit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Table'!$A$40:$A$43</c:f>
              <c:strCache>
                <c:ptCount val="3"/>
                <c:pt idx="0">
                  <c:v>Consumer</c:v>
                </c:pt>
                <c:pt idx="1">
                  <c:v>Corporate</c:v>
                </c:pt>
                <c:pt idx="2">
                  <c:v>Home Office</c:v>
                </c:pt>
              </c:strCache>
            </c:strRef>
          </c:cat>
          <c:val>
            <c:numRef>
              <c:f>'Pivot Table'!$C$40:$C$43</c:f>
              <c:numCache>
                <c:formatCode>General</c:formatCode>
                <c:ptCount val="3"/>
                <c:pt idx="0">
                  <c:v>134119.20920000001</c:v>
                </c:pt>
                <c:pt idx="1">
                  <c:v>91979.134000000005</c:v>
                </c:pt>
                <c:pt idx="2">
                  <c:v>60298.678500000002</c:v>
                </c:pt>
              </c:numCache>
            </c:numRef>
          </c:val>
          <c:extLst>
            <c:ext xmlns:c16="http://schemas.microsoft.com/office/drawing/2014/chart" uri="{C3380CC4-5D6E-409C-BE32-E72D297353CC}">
              <c16:uniqueId val="{00000001-075B-4E11-88DA-BCD65ED29A6D}"/>
            </c:ext>
          </c:extLst>
        </c:ser>
        <c:dLbls>
          <c:dLblPos val="outEnd"/>
          <c:showLegendKey val="0"/>
          <c:showVal val="1"/>
          <c:showCatName val="0"/>
          <c:showSerName val="0"/>
          <c:showPercent val="0"/>
          <c:showBubbleSize val="0"/>
        </c:dLbls>
        <c:gapWidth val="219"/>
        <c:overlap val="-27"/>
        <c:axId val="751781024"/>
        <c:axId val="751798912"/>
      </c:barChart>
      <c:catAx>
        <c:axId val="75178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98912"/>
        <c:crosses val="autoZero"/>
        <c:auto val="1"/>
        <c:lblAlgn val="ctr"/>
        <c:lblOffset val="100"/>
        <c:noMultiLvlLbl val="0"/>
      </c:catAx>
      <c:valAx>
        <c:axId val="751798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8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75195</xdr:colOff>
      <xdr:row>0</xdr:row>
      <xdr:rowOff>40190</xdr:rowOff>
    </xdr:from>
    <xdr:to>
      <xdr:col>9</xdr:col>
      <xdr:colOff>463831</xdr:colOff>
      <xdr:row>14</xdr:row>
      <xdr:rowOff>40190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67157</xdr:colOff>
      <xdr:row>14</xdr:row>
      <xdr:rowOff>87614</xdr:rowOff>
    </xdr:from>
    <xdr:to>
      <xdr:col>9</xdr:col>
      <xdr:colOff>455793</xdr:colOff>
      <xdr:row>28</xdr:row>
      <xdr:rowOff>170164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79455</xdr:colOff>
      <xdr:row>44</xdr:row>
      <xdr:rowOff>11011</xdr:rowOff>
    </xdr:from>
    <xdr:to>
      <xdr:col>9</xdr:col>
      <xdr:colOff>469377</xdr:colOff>
      <xdr:row>58</xdr:row>
      <xdr:rowOff>173942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70534</xdr:colOff>
      <xdr:row>29</xdr:row>
      <xdr:rowOff>39868</xdr:rowOff>
    </xdr:from>
    <xdr:to>
      <xdr:col>9</xdr:col>
      <xdr:colOff>459170</xdr:colOff>
      <xdr:row>43</xdr:row>
      <xdr:rowOff>125312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564668</xdr:colOff>
      <xdr:row>0</xdr:row>
      <xdr:rowOff>53934</xdr:rowOff>
    </xdr:from>
    <xdr:to>
      <xdr:col>12</xdr:col>
      <xdr:colOff>560810</xdr:colOff>
      <xdr:row>13</xdr:row>
      <xdr:rowOff>13945</xdr:rowOff>
    </xdr:to>
    <mc:AlternateContent xmlns:mc="http://schemas.openxmlformats.org/markup-compatibility/2006" xmlns:a14="http://schemas.microsoft.com/office/drawing/2010/main">
      <mc:Choice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16820" y="5393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52248</xdr:colOff>
      <xdr:row>0</xdr:row>
      <xdr:rowOff>49595</xdr:rowOff>
    </xdr:from>
    <xdr:to>
      <xdr:col>16</xdr:col>
      <xdr:colOff>48390</xdr:colOff>
      <xdr:row>13</xdr:row>
      <xdr:rowOff>9606</xdr:rowOff>
    </xdr:to>
    <mc:AlternateContent xmlns:mc="http://schemas.openxmlformats.org/markup-compatibility/2006" xmlns:a14="http://schemas.microsoft.com/office/drawing/2010/main">
      <mc:Choice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47944" y="4959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568687</xdr:colOff>
      <xdr:row>13</xdr:row>
      <xdr:rowOff>104092</xdr:rowOff>
    </xdr:from>
    <xdr:to>
      <xdr:col>12</xdr:col>
      <xdr:colOff>564829</xdr:colOff>
      <xdr:row>26</xdr:row>
      <xdr:rowOff>144483</xdr:rowOff>
    </xdr:to>
    <mc:AlternateContent xmlns:mc="http://schemas.openxmlformats.org/markup-compatibility/2006" xmlns:a14="http://schemas.microsoft.com/office/drawing/2010/main">
      <mc:Choice Requires="a14">
        <xdr:graphicFrame macro="">
          <xdr:nvGraphicFramePr>
            <xdr:cNvPr id="11"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220839" y="266820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99.93787303241" createdVersion="6" refreshedVersion="6" minRefreshableVersion="3" recordCount="203">
  <cacheSource type="worksheet">
    <worksheetSource name="Table_sales_dashboard_data"/>
  </cacheSource>
  <cacheFields count="8">
    <cacheField name="region" numFmtId="0">
      <sharedItems count="4">
        <s v="East"/>
        <s v="West"/>
        <s v="Central"/>
        <s v="South"/>
      </sharedItems>
    </cacheField>
    <cacheField name="category" numFmtId="0">
      <sharedItems/>
    </cacheField>
    <cacheField name="sub_category" numFmtId="0">
      <sharedItems/>
    </cacheField>
    <cacheField name="segment" numFmtId="0">
      <sharedItems/>
    </cacheField>
    <cacheField name="total_sales" numFmtId="0">
      <sharedItems containsSemiMixedTypes="0" containsString="0" containsNumber="1" minValue="80.634" maxValue="59645.133000000002"/>
    </cacheField>
    <cacheField name="total_profit" numFmtId="0">
      <sharedItems containsSemiMixedTypes="0" containsString="0" containsNumber="1" minValue="-5299.6557000000003" maxValue="12789.9043"/>
    </cacheField>
    <cacheField name="total_quantity" numFmtId="0">
      <sharedItems containsSemiMixedTypes="0" containsString="0" containsNumber="1" containsInteger="1" minValue="6" maxValue="959"/>
    </cacheField>
    <cacheField name="avg_discount" numFmtId="0">
      <sharedItems containsSemiMixedTypes="0" containsString="0" containsNumber="1" minValue="0" maxValue="0.5264248704663210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dell" refreshedDate="46099.959184490741" backgroundQuery="1" createdVersion="6" refreshedVersion="6" minRefreshableVersion="3" recordCount="0" supportSubquery="1" supportAdvancedDrill="1">
  <cacheSource type="external" connectionId="3"/>
  <cacheFields count="3">
    <cacheField name="[sales_dashboard_data].[segment].[segment]" caption="segment" numFmtId="0" hierarchy="3" level="1">
      <sharedItems count="3">
        <s v="Consumer"/>
        <s v="Corporate"/>
        <s v="Home Office"/>
      </sharedItems>
    </cacheField>
    <cacheField name="[Measures].[Sum of total_sales 2]" caption="Sum of total_sales 2" numFmtId="0" hierarchy="21" level="32767"/>
    <cacheField name="[Measures].[Sum of total_profit 2]" caption="Sum of total_profit 2" numFmtId="0" hierarchy="22" level="32767"/>
  </cacheFields>
  <cacheHierarchies count="24">
    <cacheHierarchy uniqueName="[sales_dashboard_data].[region]" caption="region" attribute="1" defaultMemberUniqueName="[sales_dashboard_data].[region].[All]" allUniqueName="[sales_dashboard_data].[region].[All]" dimensionUniqueName="[sales_dashboard_data]" displayFolder="" count="0" memberValueDatatype="130" unbalanced="0"/>
    <cacheHierarchy uniqueName="[sales_dashboard_data].[category]" caption="category" attribute="1" defaultMemberUniqueName="[sales_dashboard_data].[category].[All]" allUniqueName="[sales_dashboard_data].[category].[All]" dimensionUniqueName="[sales_dashboard_data]" displayFolder="" count="0" memberValueDatatype="130" unbalanced="0"/>
    <cacheHierarchy uniqueName="[sales_dashboard_data].[sub_category]" caption="sub_category" attribute="1" defaultMemberUniqueName="[sales_dashboard_data].[sub_category].[All]" allUniqueName="[sales_dashboard_data].[sub_category].[All]" dimensionUniqueName="[sales_dashboard_data]" displayFolder="" count="0" memberValueDatatype="130" unbalanced="0"/>
    <cacheHierarchy uniqueName="[sales_dashboard_data].[segment]" caption="segment" attribute="1" defaultMemberUniqueName="[sales_dashboard_data].[segment].[All]" allUniqueName="[sales_dashboard_data].[segment].[All]" dimensionUniqueName="[sales_dashboard_data]" displayFolder="" count="2" memberValueDatatype="130" unbalanced="0">
      <fieldsUsage count="2">
        <fieldUsage x="-1"/>
        <fieldUsage x="0"/>
      </fieldsUsage>
    </cacheHierarchy>
    <cacheHierarchy uniqueName="[sales_dashboard_data].[total_sales]" caption="total_sales" attribute="1" defaultMemberUniqueName="[sales_dashboard_data].[total_sales].[All]" allUniqueName="[sales_dashboard_data].[total_sales].[All]" dimensionUniqueName="[sales_dashboard_data]" displayFolder="" count="0" memberValueDatatype="5" unbalanced="0"/>
    <cacheHierarchy uniqueName="[sales_dashboard_data].[total_profit]" caption="total_profit" attribute="1" defaultMemberUniqueName="[sales_dashboard_data].[total_profit].[All]" allUniqueName="[sales_dashboard_data].[total_profit].[All]" dimensionUniqueName="[sales_dashboard_data]" displayFolder="" count="0" memberValueDatatype="5" unbalanced="0"/>
    <cacheHierarchy uniqueName="[sales_dashboard_data].[total_quantity]" caption="total_quantity" attribute="1" defaultMemberUniqueName="[sales_dashboard_data].[total_quantity].[All]" allUniqueName="[sales_dashboard_data].[total_quantity].[All]" dimensionUniqueName="[sales_dashboard_data]" displayFolder="" count="0" memberValueDatatype="20" unbalanced="0"/>
    <cacheHierarchy uniqueName="[sales_dashboard_data].[avg_discount]" caption="avg_discount" attribute="1" defaultMemberUniqueName="[sales_dashboard_data].[avg_discount].[All]" allUniqueName="[sales_dashboard_data].[avg_discount].[All]" dimensionUniqueName="[sales_dashboard_data]" displayFolder="" count="0" memberValueDatatype="5" unbalanced="0"/>
    <cacheHierarchy uniqueName="[Table_sales_dashboard_data].[region]" caption="region" attribute="1" defaultMemberUniqueName="[Table_sales_dashboard_data].[region].[All]" allUniqueName="[Table_sales_dashboard_data].[region].[All]" dimensionUniqueName="[Table_sales_dashboard_data]" displayFolder="" count="0" memberValueDatatype="130" unbalanced="0"/>
    <cacheHierarchy uniqueName="[Table_sales_dashboard_data].[category]" caption="category" attribute="1" defaultMemberUniqueName="[Table_sales_dashboard_data].[category].[All]" allUniqueName="[Table_sales_dashboard_data].[category].[All]" dimensionUniqueName="[Table_sales_dashboard_data]" displayFolder="" count="0" memberValueDatatype="130" unbalanced="0"/>
    <cacheHierarchy uniqueName="[Table_sales_dashboard_data].[sub_category]" caption="sub_category" attribute="1" defaultMemberUniqueName="[Table_sales_dashboard_data].[sub_category].[All]" allUniqueName="[Table_sales_dashboard_data].[sub_category].[All]" dimensionUniqueName="[Table_sales_dashboard_data]" displayFolder="" count="0" memberValueDatatype="130" unbalanced="0"/>
    <cacheHierarchy uniqueName="[Table_sales_dashboard_data].[segment]" caption="segment" attribute="1" defaultMemberUniqueName="[Table_sales_dashboard_data].[segment].[All]" allUniqueName="[Table_sales_dashboard_data].[segment].[All]" dimensionUniqueName="[Table_sales_dashboard_data]" displayFolder="" count="0" memberValueDatatype="130" unbalanced="0"/>
    <cacheHierarchy uniqueName="[Table_sales_dashboard_data].[total_sales]" caption="total_sales" attribute="1" defaultMemberUniqueName="[Table_sales_dashboard_data].[total_sales].[All]" allUniqueName="[Table_sales_dashboard_data].[total_sales].[All]" dimensionUniqueName="[Table_sales_dashboard_data]" displayFolder="" count="0" memberValueDatatype="5" unbalanced="0"/>
    <cacheHierarchy uniqueName="[Table_sales_dashboard_data].[total_profit]" caption="total_profit" attribute="1" defaultMemberUniqueName="[Table_sales_dashboard_data].[total_profit].[All]" allUniqueName="[Table_sales_dashboard_data].[total_profit].[All]" dimensionUniqueName="[Table_sales_dashboard_data]" displayFolder="" count="0" memberValueDatatype="5" unbalanced="0"/>
    <cacheHierarchy uniqueName="[Table_sales_dashboard_data].[total_quantity]" caption="total_quantity" attribute="1" defaultMemberUniqueName="[Table_sales_dashboard_data].[total_quantity].[All]" allUniqueName="[Table_sales_dashboard_data].[total_quantity].[All]" dimensionUniqueName="[Table_sales_dashboard_data]" displayFolder="" count="0" memberValueDatatype="20" unbalanced="0"/>
    <cacheHierarchy uniqueName="[Table_sales_dashboard_data].[avg_discount]" caption="avg_discount" attribute="1" defaultMemberUniqueName="[Table_sales_dashboard_data].[avg_discount].[All]" allUniqueName="[Table_sales_dashboard_data].[avg_discount].[All]" dimensionUniqueName="[Table_sales_dashboard_data]" displayFolder="" count="0" memberValueDatatype="5" unbalanced="0"/>
    <cacheHierarchy uniqueName="[Measures].[__XL_Count sales_dashboard_data]" caption="__XL_Count sales_dashboard_data" measure="1" displayFolder="" measureGroup="sales_dashboard_data" count="0" hidden="1"/>
    <cacheHierarchy uniqueName="[Measures].[__XL_Count Table_sales_dashboard_data]" caption="__XL_Count Table_sales_dashboard_data" measure="1" displayFolder="" measureGroup="Table_sales_dashboard_data" count="0" hidden="1"/>
    <cacheHierarchy uniqueName="[Measures].[__No measures defined]" caption="__No measures defined" measure="1" displayFolder="" count="0" hidden="1"/>
    <cacheHierarchy uniqueName="[Measures].[Sum of total_sales]" caption="Sum of total_sales" measure="1" displayFolder="" measureGroup="Table_sales_dashboard_data" count="0" hidden="1">
      <extLst>
        <ext xmlns:x15="http://schemas.microsoft.com/office/spreadsheetml/2010/11/main" uri="{B97F6D7D-B522-45F9-BDA1-12C45D357490}">
          <x15:cacheHierarchy aggregatedColumn="12"/>
        </ext>
      </extLst>
    </cacheHierarchy>
    <cacheHierarchy uniqueName="[Measures].[Sum of total_profit]" caption="Sum of total_profit" measure="1" displayFolder="" measureGroup="Table_sales_dashboard_data" count="0" hidden="1">
      <extLst>
        <ext xmlns:x15="http://schemas.microsoft.com/office/spreadsheetml/2010/11/main" uri="{B97F6D7D-B522-45F9-BDA1-12C45D357490}">
          <x15:cacheHierarchy aggregatedColumn="13"/>
        </ext>
      </extLst>
    </cacheHierarchy>
    <cacheHierarchy uniqueName="[Measures].[Sum of total_sales 2]" caption="Sum of total_sales 2" measure="1" displayFolder="" measureGroup="sales_dashboard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_profit 2]" caption="Sum of total_profit 2" measure="1" displayFolder="" measureGroup="sales_dashboard_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avg_discount]" caption="Sum of avg_discount" measure="1" displayFolder="" measureGroup="sales_dashboard_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sales_dashboard_data" uniqueName="[sales_dashboard_data]" caption="sales_dashboard_data"/>
    <dimension name="Table_sales_dashboard_data" uniqueName="[Table_sales_dashboard_data]" caption="Table_sales_dashboard_data"/>
  </dimensions>
  <measureGroups count="2">
    <measureGroup name="sales_dashboard_data" caption="sales_dashboard_data"/>
    <measureGroup name="Table_sales_dashboard_data" caption="Table_sales_dashboard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6099.943505439813" backgroundQuery="1" createdVersion="6" refreshedVersion="6" minRefreshableVersion="3" recordCount="0" supportSubquery="1" supportAdvancedDrill="1">
  <cacheSource type="external" connectionId="3"/>
  <cacheFields count="3">
    <cacheField name="[sales_dashboard_data].[category].[category]" caption="category" numFmtId="0" hierarchy="1" level="1">
      <sharedItems count="3">
        <s v="Furniture"/>
        <s v="Office Supplies"/>
        <s v="Technology"/>
      </sharedItems>
    </cacheField>
    <cacheField name="[Measures].[Sum of total_sales 2]" caption="Sum of total_sales 2" numFmtId="0" hierarchy="21" level="32767"/>
    <cacheField name="[Measures].[Sum of total_profit 2]" caption="Sum of total_profit 2" numFmtId="0" hierarchy="22" level="32767"/>
  </cacheFields>
  <cacheHierarchies count="24">
    <cacheHierarchy uniqueName="[sales_dashboard_data].[region]" caption="region" attribute="1" defaultMemberUniqueName="[sales_dashboard_data].[region].[All]" allUniqueName="[sales_dashboard_data].[region].[All]" dimensionUniqueName="[sales_dashboard_data]" displayFolder="" count="0" memberValueDatatype="130" unbalanced="0"/>
    <cacheHierarchy uniqueName="[sales_dashboard_data].[category]" caption="category" attribute="1" defaultMemberUniqueName="[sales_dashboard_data].[category].[All]" allUniqueName="[sales_dashboard_data].[category].[All]" dimensionUniqueName="[sales_dashboard_data]" displayFolder="" count="2" memberValueDatatype="130" unbalanced="0">
      <fieldsUsage count="2">
        <fieldUsage x="-1"/>
        <fieldUsage x="0"/>
      </fieldsUsage>
    </cacheHierarchy>
    <cacheHierarchy uniqueName="[sales_dashboard_data].[sub_category]" caption="sub_category" attribute="1" defaultMemberUniqueName="[sales_dashboard_data].[sub_category].[All]" allUniqueName="[sales_dashboard_data].[sub_category].[All]" dimensionUniqueName="[sales_dashboard_data]" displayFolder="" count="0" memberValueDatatype="130" unbalanced="0"/>
    <cacheHierarchy uniqueName="[sales_dashboard_data].[segment]" caption="segment" attribute="1" defaultMemberUniqueName="[sales_dashboard_data].[segment].[All]" allUniqueName="[sales_dashboard_data].[segment].[All]" dimensionUniqueName="[sales_dashboard_data]" displayFolder="" count="0" memberValueDatatype="130" unbalanced="0"/>
    <cacheHierarchy uniqueName="[sales_dashboard_data].[total_sales]" caption="total_sales" attribute="1" defaultMemberUniqueName="[sales_dashboard_data].[total_sales].[All]" allUniqueName="[sales_dashboard_data].[total_sales].[All]" dimensionUniqueName="[sales_dashboard_data]" displayFolder="" count="0" memberValueDatatype="5" unbalanced="0"/>
    <cacheHierarchy uniqueName="[sales_dashboard_data].[total_profit]" caption="total_profit" attribute="1" defaultMemberUniqueName="[sales_dashboard_data].[total_profit].[All]" allUniqueName="[sales_dashboard_data].[total_profit].[All]" dimensionUniqueName="[sales_dashboard_data]" displayFolder="" count="0" memberValueDatatype="5" unbalanced="0"/>
    <cacheHierarchy uniqueName="[sales_dashboard_data].[total_quantity]" caption="total_quantity" attribute="1" defaultMemberUniqueName="[sales_dashboard_data].[total_quantity].[All]" allUniqueName="[sales_dashboard_data].[total_quantity].[All]" dimensionUniqueName="[sales_dashboard_data]" displayFolder="" count="0" memberValueDatatype="20" unbalanced="0"/>
    <cacheHierarchy uniqueName="[sales_dashboard_data].[avg_discount]" caption="avg_discount" attribute="1" defaultMemberUniqueName="[sales_dashboard_data].[avg_discount].[All]" allUniqueName="[sales_dashboard_data].[avg_discount].[All]" dimensionUniqueName="[sales_dashboard_data]" displayFolder="" count="0" memberValueDatatype="5" unbalanced="0"/>
    <cacheHierarchy uniqueName="[Table_sales_dashboard_data].[region]" caption="region" attribute="1" defaultMemberUniqueName="[Table_sales_dashboard_data].[region].[All]" allUniqueName="[Table_sales_dashboard_data].[region].[All]" dimensionUniqueName="[Table_sales_dashboard_data]" displayFolder="" count="0" memberValueDatatype="130" unbalanced="0"/>
    <cacheHierarchy uniqueName="[Table_sales_dashboard_data].[category]" caption="category" attribute="1" defaultMemberUniqueName="[Table_sales_dashboard_data].[category].[All]" allUniqueName="[Table_sales_dashboard_data].[category].[All]" dimensionUniqueName="[Table_sales_dashboard_data]" displayFolder="" count="0" memberValueDatatype="130" unbalanced="0"/>
    <cacheHierarchy uniqueName="[Table_sales_dashboard_data].[sub_category]" caption="sub_category" attribute="1" defaultMemberUniqueName="[Table_sales_dashboard_data].[sub_category].[All]" allUniqueName="[Table_sales_dashboard_data].[sub_category].[All]" dimensionUniqueName="[Table_sales_dashboard_data]" displayFolder="" count="0" memberValueDatatype="130" unbalanced="0"/>
    <cacheHierarchy uniqueName="[Table_sales_dashboard_data].[segment]" caption="segment" attribute="1" defaultMemberUniqueName="[Table_sales_dashboard_data].[segment].[All]" allUniqueName="[Table_sales_dashboard_data].[segment].[All]" dimensionUniqueName="[Table_sales_dashboard_data]" displayFolder="" count="0" memberValueDatatype="130" unbalanced="0"/>
    <cacheHierarchy uniqueName="[Table_sales_dashboard_data].[total_sales]" caption="total_sales" attribute="1" defaultMemberUniqueName="[Table_sales_dashboard_data].[total_sales].[All]" allUniqueName="[Table_sales_dashboard_data].[total_sales].[All]" dimensionUniqueName="[Table_sales_dashboard_data]" displayFolder="" count="0" memberValueDatatype="5" unbalanced="0"/>
    <cacheHierarchy uniqueName="[Table_sales_dashboard_data].[total_profit]" caption="total_profit" attribute="1" defaultMemberUniqueName="[Table_sales_dashboard_data].[total_profit].[All]" allUniqueName="[Table_sales_dashboard_data].[total_profit].[All]" dimensionUniqueName="[Table_sales_dashboard_data]" displayFolder="" count="0" memberValueDatatype="5" unbalanced="0"/>
    <cacheHierarchy uniqueName="[Table_sales_dashboard_data].[total_quantity]" caption="total_quantity" attribute="1" defaultMemberUniqueName="[Table_sales_dashboard_data].[total_quantity].[All]" allUniqueName="[Table_sales_dashboard_data].[total_quantity].[All]" dimensionUniqueName="[Table_sales_dashboard_data]" displayFolder="" count="0" memberValueDatatype="20" unbalanced="0"/>
    <cacheHierarchy uniqueName="[Table_sales_dashboard_data].[avg_discount]" caption="avg_discount" attribute="1" defaultMemberUniqueName="[Table_sales_dashboard_data].[avg_discount].[All]" allUniqueName="[Table_sales_dashboard_data].[avg_discount].[All]" dimensionUniqueName="[Table_sales_dashboard_data]" displayFolder="" count="0" memberValueDatatype="5" unbalanced="0"/>
    <cacheHierarchy uniqueName="[Measures].[__XL_Count sales_dashboard_data]" caption="__XL_Count sales_dashboard_data" measure="1" displayFolder="" measureGroup="sales_dashboard_data" count="0" hidden="1"/>
    <cacheHierarchy uniqueName="[Measures].[__XL_Count Table_sales_dashboard_data]" caption="__XL_Count Table_sales_dashboard_data" measure="1" displayFolder="" measureGroup="Table_sales_dashboard_data" count="0" hidden="1"/>
    <cacheHierarchy uniqueName="[Measures].[__No measures defined]" caption="__No measures defined" measure="1" displayFolder="" count="0" hidden="1"/>
    <cacheHierarchy uniqueName="[Measures].[Sum of total_sales]" caption="Sum of total_sales" measure="1" displayFolder="" measureGroup="Table_sales_dashboard_data" count="0" hidden="1">
      <extLst>
        <ext xmlns:x15="http://schemas.microsoft.com/office/spreadsheetml/2010/11/main" uri="{B97F6D7D-B522-45F9-BDA1-12C45D357490}">
          <x15:cacheHierarchy aggregatedColumn="12"/>
        </ext>
      </extLst>
    </cacheHierarchy>
    <cacheHierarchy uniqueName="[Measures].[Sum of total_profit]" caption="Sum of total_profit" measure="1" displayFolder="" measureGroup="Table_sales_dashboard_data" count="0" hidden="1">
      <extLst>
        <ext xmlns:x15="http://schemas.microsoft.com/office/spreadsheetml/2010/11/main" uri="{B97F6D7D-B522-45F9-BDA1-12C45D357490}">
          <x15:cacheHierarchy aggregatedColumn="13"/>
        </ext>
      </extLst>
    </cacheHierarchy>
    <cacheHierarchy uniqueName="[Measures].[Sum of total_sales 2]" caption="Sum of total_sales 2" measure="1" displayFolder="" measureGroup="sales_dashboard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_profit 2]" caption="Sum of total_profit 2" measure="1" displayFolder="" measureGroup="sales_dashboard_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avg_discount]" caption="Sum of avg_discount" measure="1" displayFolder="" measureGroup="sales_dashboard_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sales_dashboard_data" uniqueName="[sales_dashboard_data]" caption="sales_dashboard_data"/>
    <dimension name="Table_sales_dashboard_data" uniqueName="[Table_sales_dashboard_data]" caption="Table_sales_dashboard_data"/>
  </dimensions>
  <measureGroups count="2">
    <measureGroup name="sales_dashboard_data" caption="sales_dashboard_data"/>
    <measureGroup name="Table_sales_dashboard_data" caption="Table_sales_dashboard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6099.994100578704" backgroundQuery="1" createdVersion="6" refreshedVersion="6" minRefreshableVersion="3" recordCount="0" supportSubquery="1" supportAdvancedDrill="1">
  <cacheSource type="external" connectionId="3"/>
  <cacheFields count="3">
    <cacheField name="[sales_dashboard_data].[sub_category].[sub_category]" caption="sub_category" numFmtId="0" hierarchy="2" level="1">
      <sharedItems count="17">
        <s v="Accessories"/>
        <s v="Appliances"/>
        <s v="Art"/>
        <s v="Binders"/>
        <s v="Bookcases"/>
        <s v="Chairs"/>
        <s v="Copiers"/>
        <s v="Envelopes"/>
        <s v="Fasteners"/>
        <s v="Furnishings"/>
        <s v="Labels"/>
        <s v="Machines"/>
        <s v="Paper"/>
        <s v="Phones"/>
        <s v="Storage"/>
        <s v="Supplies"/>
        <s v="Tables"/>
      </sharedItems>
    </cacheField>
    <cacheField name="[Measures].[Sum of total_sales 2]" caption="Sum of total_sales 2" numFmtId="0" hierarchy="21" level="32767"/>
    <cacheField name="[Measures].[Sum of total_profit 2]" caption="Sum of total_profit 2" numFmtId="0" hierarchy="22" level="32767"/>
  </cacheFields>
  <cacheHierarchies count="24">
    <cacheHierarchy uniqueName="[sales_dashboard_data].[region]" caption="region" attribute="1" defaultMemberUniqueName="[sales_dashboard_data].[region].[All]" allUniqueName="[sales_dashboard_data].[region].[All]" dimensionUniqueName="[sales_dashboard_data]" displayFolder="" count="0" memberValueDatatype="130" unbalanced="0"/>
    <cacheHierarchy uniqueName="[sales_dashboard_data].[category]" caption="category" attribute="1" defaultMemberUniqueName="[sales_dashboard_data].[category].[All]" allUniqueName="[sales_dashboard_data].[category].[All]" dimensionUniqueName="[sales_dashboard_data]" displayFolder="" count="0" memberValueDatatype="130" unbalanced="0"/>
    <cacheHierarchy uniqueName="[sales_dashboard_data].[sub_category]" caption="sub_category" attribute="1" defaultMemberUniqueName="[sales_dashboard_data].[sub_category].[All]" allUniqueName="[sales_dashboard_data].[sub_category].[All]" dimensionUniqueName="[sales_dashboard_data]" displayFolder="" count="2" memberValueDatatype="130" unbalanced="0">
      <fieldsUsage count="2">
        <fieldUsage x="-1"/>
        <fieldUsage x="0"/>
      </fieldsUsage>
    </cacheHierarchy>
    <cacheHierarchy uniqueName="[sales_dashboard_data].[segment]" caption="segment" attribute="1" defaultMemberUniqueName="[sales_dashboard_data].[segment].[All]" allUniqueName="[sales_dashboard_data].[segment].[All]" dimensionUniqueName="[sales_dashboard_data]" displayFolder="" count="0" memberValueDatatype="130" unbalanced="0"/>
    <cacheHierarchy uniqueName="[sales_dashboard_data].[total_sales]" caption="total_sales" attribute="1" defaultMemberUniqueName="[sales_dashboard_data].[total_sales].[All]" allUniqueName="[sales_dashboard_data].[total_sales].[All]" dimensionUniqueName="[sales_dashboard_data]" displayFolder="" count="0" memberValueDatatype="5" unbalanced="0"/>
    <cacheHierarchy uniqueName="[sales_dashboard_data].[total_profit]" caption="total_profit" attribute="1" defaultMemberUniqueName="[sales_dashboard_data].[total_profit].[All]" allUniqueName="[sales_dashboard_data].[total_profit].[All]" dimensionUniqueName="[sales_dashboard_data]" displayFolder="" count="0" memberValueDatatype="5" unbalanced="0"/>
    <cacheHierarchy uniqueName="[sales_dashboard_data].[total_quantity]" caption="total_quantity" attribute="1" defaultMemberUniqueName="[sales_dashboard_data].[total_quantity].[All]" allUniqueName="[sales_dashboard_data].[total_quantity].[All]" dimensionUniqueName="[sales_dashboard_data]" displayFolder="" count="0" memberValueDatatype="20" unbalanced="0"/>
    <cacheHierarchy uniqueName="[sales_dashboard_data].[avg_discount]" caption="avg_discount" attribute="1" defaultMemberUniqueName="[sales_dashboard_data].[avg_discount].[All]" allUniqueName="[sales_dashboard_data].[avg_discount].[All]" dimensionUniqueName="[sales_dashboard_data]" displayFolder="" count="0" memberValueDatatype="5" unbalanced="0"/>
    <cacheHierarchy uniqueName="[Table_sales_dashboard_data].[region]" caption="region" attribute="1" defaultMemberUniqueName="[Table_sales_dashboard_data].[region].[All]" allUniqueName="[Table_sales_dashboard_data].[region].[All]" dimensionUniqueName="[Table_sales_dashboard_data]" displayFolder="" count="0" memberValueDatatype="130" unbalanced="0"/>
    <cacheHierarchy uniqueName="[Table_sales_dashboard_data].[category]" caption="category" attribute="1" defaultMemberUniqueName="[Table_sales_dashboard_data].[category].[All]" allUniqueName="[Table_sales_dashboard_data].[category].[All]" dimensionUniqueName="[Table_sales_dashboard_data]" displayFolder="" count="0" memberValueDatatype="130" unbalanced="0"/>
    <cacheHierarchy uniqueName="[Table_sales_dashboard_data].[sub_category]" caption="sub_category" attribute="1" defaultMemberUniqueName="[Table_sales_dashboard_data].[sub_category].[All]" allUniqueName="[Table_sales_dashboard_data].[sub_category].[All]" dimensionUniqueName="[Table_sales_dashboard_data]" displayFolder="" count="0" memberValueDatatype="130" unbalanced="0"/>
    <cacheHierarchy uniqueName="[Table_sales_dashboard_data].[segment]" caption="segment" attribute="1" defaultMemberUniqueName="[Table_sales_dashboard_data].[segment].[All]" allUniqueName="[Table_sales_dashboard_data].[segment].[All]" dimensionUniqueName="[Table_sales_dashboard_data]" displayFolder="" count="0" memberValueDatatype="130" unbalanced="0"/>
    <cacheHierarchy uniqueName="[Table_sales_dashboard_data].[total_sales]" caption="total_sales" attribute="1" defaultMemberUniqueName="[Table_sales_dashboard_data].[total_sales].[All]" allUniqueName="[Table_sales_dashboard_data].[total_sales].[All]" dimensionUniqueName="[Table_sales_dashboard_data]" displayFolder="" count="0" memberValueDatatype="5" unbalanced="0"/>
    <cacheHierarchy uniqueName="[Table_sales_dashboard_data].[total_profit]" caption="total_profit" attribute="1" defaultMemberUniqueName="[Table_sales_dashboard_data].[total_profit].[All]" allUniqueName="[Table_sales_dashboard_data].[total_profit].[All]" dimensionUniqueName="[Table_sales_dashboard_data]" displayFolder="" count="0" memberValueDatatype="5" unbalanced="0"/>
    <cacheHierarchy uniqueName="[Table_sales_dashboard_data].[total_quantity]" caption="total_quantity" attribute="1" defaultMemberUniqueName="[Table_sales_dashboard_data].[total_quantity].[All]" allUniqueName="[Table_sales_dashboard_data].[total_quantity].[All]" dimensionUniqueName="[Table_sales_dashboard_data]" displayFolder="" count="0" memberValueDatatype="20" unbalanced="0"/>
    <cacheHierarchy uniqueName="[Table_sales_dashboard_data].[avg_discount]" caption="avg_discount" attribute="1" defaultMemberUniqueName="[Table_sales_dashboard_data].[avg_discount].[All]" allUniqueName="[Table_sales_dashboard_data].[avg_discount].[All]" dimensionUniqueName="[Table_sales_dashboard_data]" displayFolder="" count="0" memberValueDatatype="5" unbalanced="0"/>
    <cacheHierarchy uniqueName="[Measures].[__XL_Count sales_dashboard_data]" caption="__XL_Count sales_dashboard_data" measure="1" displayFolder="" measureGroup="sales_dashboard_data" count="0" hidden="1"/>
    <cacheHierarchy uniqueName="[Measures].[__XL_Count Table_sales_dashboard_data]" caption="__XL_Count Table_sales_dashboard_data" measure="1" displayFolder="" measureGroup="Table_sales_dashboard_data" count="0" hidden="1"/>
    <cacheHierarchy uniqueName="[Measures].[__No measures defined]" caption="__No measures defined" measure="1" displayFolder="" count="0" hidden="1"/>
    <cacheHierarchy uniqueName="[Measures].[Sum of total_sales]" caption="Sum of total_sales" measure="1" displayFolder="" measureGroup="Table_sales_dashboard_data" count="0" hidden="1">
      <extLst>
        <ext xmlns:x15="http://schemas.microsoft.com/office/spreadsheetml/2010/11/main" uri="{B97F6D7D-B522-45F9-BDA1-12C45D357490}">
          <x15:cacheHierarchy aggregatedColumn="12"/>
        </ext>
      </extLst>
    </cacheHierarchy>
    <cacheHierarchy uniqueName="[Measures].[Sum of total_profit]" caption="Sum of total_profit" measure="1" displayFolder="" measureGroup="Table_sales_dashboard_data" count="0" hidden="1">
      <extLst>
        <ext xmlns:x15="http://schemas.microsoft.com/office/spreadsheetml/2010/11/main" uri="{B97F6D7D-B522-45F9-BDA1-12C45D357490}">
          <x15:cacheHierarchy aggregatedColumn="13"/>
        </ext>
      </extLst>
    </cacheHierarchy>
    <cacheHierarchy uniqueName="[Measures].[Sum of total_sales 2]" caption="Sum of total_sales 2" measure="1" displayFolder="" measureGroup="sales_dashboard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_profit 2]" caption="Sum of total_profit 2" measure="1" displayFolder="" measureGroup="sales_dashboard_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avg_discount]" caption="Sum of avg_discount" measure="1" displayFolder="" measureGroup="sales_dashboard_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sales_dashboard_data" uniqueName="[sales_dashboard_data]" caption="sales_dashboard_data"/>
    <dimension name="Table_sales_dashboard_data" uniqueName="[Table_sales_dashboard_data]" caption="Table_sales_dashboard_data"/>
  </dimensions>
  <measureGroups count="2">
    <measureGroup name="sales_dashboard_data" caption="sales_dashboard_data"/>
    <measureGroup name="Table_sales_dashboard_data" caption="Table_sales_dashboard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6100.000042361113" backgroundQuery="1"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sales_dashboard_data].[region]" caption="region" attribute="1" defaultMemberUniqueName="[sales_dashboard_data].[region].[All]" allUniqueName="[sales_dashboard_data].[region].[All]" dimensionUniqueName="[sales_dashboard_data]" displayFolder="" count="2" memberValueDatatype="130" unbalanced="0"/>
    <cacheHierarchy uniqueName="[sales_dashboard_data].[category]" caption="category" attribute="1" defaultMemberUniqueName="[sales_dashboard_data].[category].[All]" allUniqueName="[sales_dashboard_data].[category].[All]" dimensionUniqueName="[sales_dashboard_data]" displayFolder="" count="2" memberValueDatatype="130" unbalanced="0"/>
    <cacheHierarchy uniqueName="[sales_dashboard_data].[sub_category]" caption="sub_category" attribute="1" defaultMemberUniqueName="[sales_dashboard_data].[sub_category].[All]" allUniqueName="[sales_dashboard_data].[sub_category].[All]" dimensionUniqueName="[sales_dashboard_data]" displayFolder="" count="0" memberValueDatatype="130" unbalanced="0"/>
    <cacheHierarchy uniqueName="[sales_dashboard_data].[segment]" caption="segment" attribute="1" defaultMemberUniqueName="[sales_dashboard_data].[segment].[All]" allUniqueName="[sales_dashboard_data].[segment].[All]" dimensionUniqueName="[sales_dashboard_data]" displayFolder="" count="2" memberValueDatatype="130" unbalanced="0"/>
    <cacheHierarchy uniqueName="[sales_dashboard_data].[total_sales]" caption="total_sales" attribute="1" defaultMemberUniqueName="[sales_dashboard_data].[total_sales].[All]" allUniqueName="[sales_dashboard_data].[total_sales].[All]" dimensionUniqueName="[sales_dashboard_data]" displayFolder="" count="0" memberValueDatatype="5" unbalanced="0"/>
    <cacheHierarchy uniqueName="[sales_dashboard_data].[total_profit]" caption="total_profit" attribute="1" defaultMemberUniqueName="[sales_dashboard_data].[total_profit].[All]" allUniqueName="[sales_dashboard_data].[total_profit].[All]" dimensionUniqueName="[sales_dashboard_data]" displayFolder="" count="0" memberValueDatatype="5" unbalanced="0"/>
    <cacheHierarchy uniqueName="[sales_dashboard_data].[total_quantity]" caption="total_quantity" attribute="1" defaultMemberUniqueName="[sales_dashboard_data].[total_quantity].[All]" allUniqueName="[sales_dashboard_data].[total_quantity].[All]" dimensionUniqueName="[sales_dashboard_data]" displayFolder="" count="0" memberValueDatatype="20" unbalanced="0"/>
    <cacheHierarchy uniqueName="[sales_dashboard_data].[avg_discount]" caption="avg_discount" attribute="1" defaultMemberUniqueName="[sales_dashboard_data].[avg_discount].[All]" allUniqueName="[sales_dashboard_data].[avg_discount].[All]" dimensionUniqueName="[sales_dashboard_data]" displayFolder="" count="0" memberValueDatatype="5" unbalanced="0"/>
    <cacheHierarchy uniqueName="[Table_sales_dashboard_data].[region]" caption="region" attribute="1" defaultMemberUniqueName="[Table_sales_dashboard_data].[region].[All]" allUniqueName="[Table_sales_dashboard_data].[region].[All]" dimensionUniqueName="[Table_sales_dashboard_data]" displayFolder="" count="0" memberValueDatatype="130" unbalanced="0"/>
    <cacheHierarchy uniqueName="[Table_sales_dashboard_data].[category]" caption="category" attribute="1" defaultMemberUniqueName="[Table_sales_dashboard_data].[category].[All]" allUniqueName="[Table_sales_dashboard_data].[category].[All]" dimensionUniqueName="[Table_sales_dashboard_data]" displayFolder="" count="0" memberValueDatatype="130" unbalanced="0"/>
    <cacheHierarchy uniqueName="[Table_sales_dashboard_data].[sub_category]" caption="sub_category" attribute="1" defaultMemberUniqueName="[Table_sales_dashboard_data].[sub_category].[All]" allUniqueName="[Table_sales_dashboard_data].[sub_category].[All]" dimensionUniqueName="[Table_sales_dashboard_data]" displayFolder="" count="0" memberValueDatatype="130" unbalanced="0"/>
    <cacheHierarchy uniqueName="[Table_sales_dashboard_data].[segment]" caption="segment" attribute="1" defaultMemberUniqueName="[Table_sales_dashboard_data].[segment].[All]" allUniqueName="[Table_sales_dashboard_data].[segment].[All]" dimensionUniqueName="[Table_sales_dashboard_data]" displayFolder="" count="0" memberValueDatatype="130" unbalanced="0"/>
    <cacheHierarchy uniqueName="[Table_sales_dashboard_data].[total_sales]" caption="total_sales" attribute="1" defaultMemberUniqueName="[Table_sales_dashboard_data].[total_sales].[All]" allUniqueName="[Table_sales_dashboard_data].[total_sales].[All]" dimensionUniqueName="[Table_sales_dashboard_data]" displayFolder="" count="0" memberValueDatatype="5" unbalanced="0"/>
    <cacheHierarchy uniqueName="[Table_sales_dashboard_data].[total_profit]" caption="total_profit" attribute="1" defaultMemberUniqueName="[Table_sales_dashboard_data].[total_profit].[All]" allUniqueName="[Table_sales_dashboard_data].[total_profit].[All]" dimensionUniqueName="[Table_sales_dashboard_data]" displayFolder="" count="0" memberValueDatatype="5" unbalanced="0"/>
    <cacheHierarchy uniqueName="[Table_sales_dashboard_data].[total_quantity]" caption="total_quantity" attribute="1" defaultMemberUniqueName="[Table_sales_dashboard_data].[total_quantity].[All]" allUniqueName="[Table_sales_dashboard_data].[total_quantity].[All]" dimensionUniqueName="[Table_sales_dashboard_data]" displayFolder="" count="0" memberValueDatatype="20" unbalanced="0"/>
    <cacheHierarchy uniqueName="[Table_sales_dashboard_data].[avg_discount]" caption="avg_discount" attribute="1" defaultMemberUniqueName="[Table_sales_dashboard_data].[avg_discount].[All]" allUniqueName="[Table_sales_dashboard_data].[avg_discount].[All]" dimensionUniqueName="[Table_sales_dashboard_data]" displayFolder="" count="0" memberValueDatatype="5" unbalanced="0"/>
    <cacheHierarchy uniqueName="[Measures].[__XL_Count sales_dashboard_data]" caption="__XL_Count sales_dashboard_data" measure="1" displayFolder="" measureGroup="sales_dashboard_data" count="0" hidden="1"/>
    <cacheHierarchy uniqueName="[Measures].[__XL_Count Table_sales_dashboard_data]" caption="__XL_Count Table_sales_dashboard_data" measure="1" displayFolder="" measureGroup="Table_sales_dashboard_data" count="0" hidden="1"/>
    <cacheHierarchy uniqueName="[Measures].[__No measures defined]" caption="__No measures defined" measure="1" displayFolder="" count="0" hidden="1"/>
    <cacheHierarchy uniqueName="[Measures].[Sum of total_sales]" caption="Sum of total_sales" measure="1" displayFolder="" measureGroup="Table_sales_dashboard_data" count="0" hidden="1">
      <extLst>
        <ext xmlns:x15="http://schemas.microsoft.com/office/spreadsheetml/2010/11/main" uri="{B97F6D7D-B522-45F9-BDA1-12C45D357490}">
          <x15:cacheHierarchy aggregatedColumn="12"/>
        </ext>
      </extLst>
    </cacheHierarchy>
    <cacheHierarchy uniqueName="[Measures].[Sum of total_profit]" caption="Sum of total_profit" measure="1" displayFolder="" measureGroup="Table_sales_dashboard_data" count="0" hidden="1">
      <extLst>
        <ext xmlns:x15="http://schemas.microsoft.com/office/spreadsheetml/2010/11/main" uri="{B97F6D7D-B522-45F9-BDA1-12C45D357490}">
          <x15:cacheHierarchy aggregatedColumn="13"/>
        </ext>
      </extLst>
    </cacheHierarchy>
    <cacheHierarchy uniqueName="[Measures].[Sum of total_sales 2]" caption="Sum of total_sales 2" measure="1" displayFolder="" measureGroup="sales_dashboard_data" count="0" hidden="1">
      <extLst>
        <ext xmlns:x15="http://schemas.microsoft.com/office/spreadsheetml/2010/11/main" uri="{B97F6D7D-B522-45F9-BDA1-12C45D357490}">
          <x15:cacheHierarchy aggregatedColumn="4"/>
        </ext>
      </extLst>
    </cacheHierarchy>
    <cacheHierarchy uniqueName="[Measures].[Sum of total_profit 2]" caption="Sum of total_profit 2" measure="1" displayFolder="" measureGroup="sales_dashboard_data" count="0" hidden="1">
      <extLst>
        <ext xmlns:x15="http://schemas.microsoft.com/office/spreadsheetml/2010/11/main" uri="{B97F6D7D-B522-45F9-BDA1-12C45D357490}">
          <x15:cacheHierarchy aggregatedColumn="5"/>
        </ext>
      </extLst>
    </cacheHierarchy>
    <cacheHierarchy uniqueName="[Measures].[Sum of avg_discount]" caption="Sum of avg_discount" measure="1" displayFolder="" measureGroup="sales_dashboard_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03">
  <r>
    <x v="0"/>
    <s v="Furniture"/>
    <s v="Chairs"/>
    <s v="Consumer"/>
    <n v="59645.133000000002"/>
    <n v="4917.3951999999999"/>
    <n v="387"/>
    <n v="0.16170212765957401"/>
  </r>
  <r>
    <x v="0"/>
    <s v="Technology"/>
    <s v="Phones"/>
    <s v="Consumer"/>
    <n v="51512.038"/>
    <n v="7328.2536"/>
    <n v="514"/>
    <n v="0.157142857142857"/>
  </r>
  <r>
    <x v="1"/>
    <s v="Technology"/>
    <s v="Phones"/>
    <s v="Consumer"/>
    <n v="50465.735999999997"/>
    <n v="4468.9296999999997"/>
    <n v="546"/>
    <n v="0.2"/>
  </r>
  <r>
    <x v="1"/>
    <s v="Furniture"/>
    <s v="Chairs"/>
    <s v="Consumer"/>
    <n v="43480.008000000002"/>
    <n v="1380.0007000000001"/>
    <n v="345"/>
    <n v="0.2"/>
  </r>
  <r>
    <x v="2"/>
    <s v="Furniture"/>
    <s v="Chairs"/>
    <s v="Consumer"/>
    <n v="42933.375"/>
    <n v="2920.9013"/>
    <n v="307"/>
    <n v="0.2"/>
  </r>
  <r>
    <x v="1"/>
    <s v="Furniture"/>
    <s v="Tables"/>
    <s v="Consumer"/>
    <n v="40607.485999999997"/>
    <n v="521.97170000000006"/>
    <n v="226"/>
    <n v="0.20526315789473601"/>
  </r>
  <r>
    <x v="2"/>
    <s v="Office Supplies"/>
    <s v="Binders"/>
    <s v="Consumer"/>
    <n v="39693.576000000001"/>
    <n v="1832.3209999999999"/>
    <n v="769"/>
    <n v="0.52642487046632103"/>
  </r>
  <r>
    <x v="2"/>
    <s v="Technology"/>
    <s v="Phones"/>
    <s v="Consumer"/>
    <n v="37108.786"/>
    <n v="6416.0195999999996"/>
    <n v="356"/>
    <n v="0.12380952380952299"/>
  </r>
  <r>
    <x v="1"/>
    <s v="Furniture"/>
    <s v="Chairs"/>
    <s v="Corporate"/>
    <n v="36279.224000000002"/>
    <n v="1233.2304999999999"/>
    <n v="250"/>
    <n v="0.2"/>
  </r>
  <r>
    <x v="1"/>
    <s v="Office Supplies"/>
    <s v="Storage"/>
    <s v="Consumer"/>
    <n v="33944.387999999999"/>
    <n v="3828.2964000000002"/>
    <n v="575"/>
    <n v="3.3112582781456901E-2"/>
  </r>
  <r>
    <x v="1"/>
    <s v="Technology"/>
    <s v="Accessories"/>
    <s v="Consumer"/>
    <n v="33530.313999999998"/>
    <n v="8964.1510999999991"/>
    <n v="567"/>
    <n v="0.04"/>
  </r>
  <r>
    <x v="0"/>
    <s v="Office Supplies"/>
    <s v="Binders"/>
    <s v="Consumer"/>
    <n v="31622.61"/>
    <n v="6740.6697000000004"/>
    <n v="858"/>
    <n v="0.34957983193277298"/>
  </r>
  <r>
    <x v="0"/>
    <s v="Office Supplies"/>
    <s v="Storage"/>
    <s v="Corporate"/>
    <n v="30968.37"/>
    <n v="3836.4564999999998"/>
    <n v="356"/>
    <n v="6.8888888888888805E-2"/>
  </r>
  <r>
    <x v="3"/>
    <s v="Technology"/>
    <s v="Phones"/>
    <s v="Consumer"/>
    <n v="30846.204000000002"/>
    <n v="5623.9117999999999"/>
    <n v="269"/>
    <n v="9.7058823529411697E-2"/>
  </r>
  <r>
    <x v="0"/>
    <s v="Technology"/>
    <s v="Machines"/>
    <s v="Consumer"/>
    <n v="30668.429"/>
    <n v="-1296.085"/>
    <n v="77"/>
    <n v="0.33157894736842097"/>
  </r>
  <r>
    <x v="1"/>
    <s v="Technology"/>
    <s v="Copiers"/>
    <s v="Consumer"/>
    <n v="30459.612000000001"/>
    <n v="12158.871300000001"/>
    <n v="46"/>
    <n v="0.146666666666666"/>
  </r>
  <r>
    <x v="0"/>
    <s v="Technology"/>
    <s v="Copiers"/>
    <s v="Consumer"/>
    <n v="30399.705999999998"/>
    <n v="8657.9325000000008"/>
    <n v="43"/>
    <n v="0.3"/>
  </r>
  <r>
    <x v="0"/>
    <s v="Technology"/>
    <s v="Phones"/>
    <s v="Corporate"/>
    <n v="29865.617999999999"/>
    <n v="3129.6183000000001"/>
    <n v="304"/>
    <n v="0.15172413793103401"/>
  </r>
  <r>
    <x v="2"/>
    <s v="Technology"/>
    <s v="Copiers"/>
    <s v="Corporate"/>
    <n v="29679.741999999998"/>
    <n v="12789.9043"/>
    <n v="29"/>
    <n v="0.125"/>
  </r>
  <r>
    <x v="1"/>
    <s v="Office Supplies"/>
    <s v="Binders"/>
    <s v="Consumer"/>
    <n v="28227.119999999999"/>
    <n v="7838.6779999999999"/>
    <n v="959"/>
    <n v="0.28403361344537797"/>
  </r>
  <r>
    <x v="1"/>
    <s v="Furniture"/>
    <s v="Tables"/>
    <s v="Corporate"/>
    <n v="28137.891"/>
    <n v="1074.2003999999999"/>
    <n v="165"/>
    <n v="0.19285714285714201"/>
  </r>
  <r>
    <x v="2"/>
    <s v="Furniture"/>
    <s v="Chairs"/>
    <s v="Corporate"/>
    <n v="27989.552"/>
    <n v="3206.8836999999999"/>
    <n v="178"/>
    <n v="0.16666666666666599"/>
  </r>
  <r>
    <x v="0"/>
    <s v="Furniture"/>
    <s v="Bookcases"/>
    <s v="Consumer"/>
    <n v="27307.133999999998"/>
    <n v="-2192.0672"/>
    <n v="140"/>
    <n v="0.233333333333333"/>
  </r>
  <r>
    <x v="3"/>
    <s v="Furniture"/>
    <s v="Chairs"/>
    <s v="Consumer"/>
    <n v="26804.225999999999"/>
    <n v="4017.0347000000002"/>
    <n v="195"/>
    <n v="8.6792452830188604E-2"/>
  </r>
  <r>
    <x v="0"/>
    <s v="Office Supplies"/>
    <s v="Storage"/>
    <s v="Consumer"/>
    <n v="24994.457999999999"/>
    <n v="1973.9241999999999"/>
    <n v="398"/>
    <n v="7.7192982456140299E-2"/>
  </r>
  <r>
    <x v="1"/>
    <s v="Technology"/>
    <s v="Phones"/>
    <s v="Corporate"/>
    <n v="24832.768"/>
    <n v="2565.1095999999998"/>
    <n v="325"/>
    <n v="0.2"/>
  </r>
  <r>
    <x v="1"/>
    <s v="Office Supplies"/>
    <s v="Storage"/>
    <s v="Corporate"/>
    <n v="24803.766"/>
    <n v="3491.4868999999999"/>
    <n v="299"/>
    <n v="2.89473684210526E-2"/>
  </r>
  <r>
    <x v="2"/>
    <s v="Office Supplies"/>
    <s v="Storage"/>
    <s v="Consumer"/>
    <n v="24671.81"/>
    <n v="413.31009999999998"/>
    <n v="394"/>
    <n v="0.126050420168067"/>
  </r>
  <r>
    <x v="3"/>
    <s v="Furniture"/>
    <s v="Tables"/>
    <s v="Consumer"/>
    <n v="24408.842000000001"/>
    <n v="-2577.4996000000001"/>
    <n v="119"/>
    <n v="0.203703703703703"/>
  </r>
  <r>
    <x v="0"/>
    <s v="Technology"/>
    <s v="Machines"/>
    <s v="Corporate"/>
    <n v="23892.036"/>
    <n v="2624.6023"/>
    <n v="63"/>
    <n v="0.35"/>
  </r>
  <r>
    <x v="3"/>
    <s v="Technology"/>
    <s v="Machines"/>
    <s v="Home Office"/>
    <n v="23551.255000000001"/>
    <n v="-1829.3339000000001"/>
    <n v="11"/>
    <n v="0.5"/>
  </r>
  <r>
    <x v="0"/>
    <s v="Furniture"/>
    <s v="Chairs"/>
    <s v="Corporate"/>
    <n v="23505.23"/>
    <n v="2720.5877999999998"/>
    <n v="189"/>
    <n v="0.139130434782608"/>
  </r>
  <r>
    <x v="1"/>
    <s v="Technology"/>
    <s v="Phones"/>
    <s v="Home Office"/>
    <n v="23385.848000000002"/>
    <n v="2076.7033000000001"/>
    <n v="197"/>
    <n v="0.2"/>
  </r>
  <r>
    <x v="0"/>
    <s v="Technology"/>
    <s v="Accessories"/>
    <s v="Consumer"/>
    <n v="22861.056"/>
    <n v="5240.0783000000001"/>
    <n v="354"/>
    <n v="9.34579439252336E-2"/>
  </r>
  <r>
    <x v="1"/>
    <s v="Furniture"/>
    <s v="Chairs"/>
    <s v="Home Office"/>
    <n v="22022.096000000001"/>
    <n v="1414.3531"/>
    <n v="139"/>
    <n v="0.2"/>
  </r>
  <r>
    <x v="2"/>
    <s v="Furniture"/>
    <s v="Tables"/>
    <s v="Consumer"/>
    <n v="20835"/>
    <n v="-3964.1570999999999"/>
    <n v="151"/>
    <n v="0.31190476190476102"/>
  </r>
  <r>
    <x v="1"/>
    <s v="Technology"/>
    <s v="Accessories"/>
    <s v="Corporate"/>
    <n v="20071.871999999999"/>
    <n v="5225.4780000000001"/>
    <n v="335"/>
    <n v="3.02325581395348E-2"/>
  </r>
  <r>
    <x v="1"/>
    <s v="Furniture"/>
    <s v="Bookcases"/>
    <s v="Consumer"/>
    <n v="19648.179"/>
    <n v="-1966.4570000000001"/>
    <n v="176"/>
    <n v="0.245918367346938"/>
  </r>
  <r>
    <x v="0"/>
    <s v="Office Supplies"/>
    <s v="Appliances"/>
    <s v="Consumer"/>
    <n v="19389.756000000001"/>
    <n v="5008.7578999999996"/>
    <n v="245"/>
    <n v="7.5757575757575704E-2"/>
  </r>
  <r>
    <x v="3"/>
    <s v="Technology"/>
    <s v="Phones"/>
    <s v="Corporate"/>
    <n v="19274.232"/>
    <n v="3680.212"/>
    <n v="164"/>
    <n v="0.11363636363636299"/>
  </r>
  <r>
    <x v="0"/>
    <s v="Technology"/>
    <s v="Phones"/>
    <s v="Home Office"/>
    <n v="19237.326000000001"/>
    <n v="1856.8141000000001"/>
    <n v="164"/>
    <n v="0.18666666666666601"/>
  </r>
  <r>
    <x v="2"/>
    <s v="Technology"/>
    <s v="Accessories"/>
    <s v="Consumer"/>
    <n v="19062.304"/>
    <n v="3743.3859000000002"/>
    <n v="392"/>
    <n v="0.13069306930693"/>
  </r>
  <r>
    <x v="1"/>
    <s v="Office Supplies"/>
    <s v="Binders"/>
    <s v="Corporate"/>
    <n v="18804.759999999998"/>
    <n v="5468.5415000000003"/>
    <n v="565"/>
    <n v="0.26907894736842097"/>
  </r>
  <r>
    <x v="3"/>
    <s v="Office Supplies"/>
    <s v="Binders"/>
    <s v="Consumer"/>
    <n v="18617.703000000001"/>
    <n v="1583.9285"/>
    <n v="429"/>
    <n v="0.37837837837837801"/>
  </r>
  <r>
    <x v="0"/>
    <s v="Technology"/>
    <s v="Copiers"/>
    <s v="Home Office"/>
    <n v="18599.842000000001"/>
    <n v="7229.9327999999996"/>
    <n v="17"/>
    <n v="0.1"/>
  </r>
  <r>
    <x v="1"/>
    <s v="Technology"/>
    <s v="Machines"/>
    <s v="Consumer"/>
    <n v="18536.083999999999"/>
    <n v="2193.616"/>
    <n v="76"/>
    <n v="0.25263157894736799"/>
  </r>
  <r>
    <x v="3"/>
    <s v="Technology"/>
    <s v="Machines"/>
    <s v="Consumer"/>
    <n v="18338.55"/>
    <n v="2910.5587999999998"/>
    <n v="36"/>
    <n v="0.27272727272727199"/>
  </r>
  <r>
    <x v="2"/>
    <s v="Technology"/>
    <s v="Phones"/>
    <s v="Home Office"/>
    <n v="18113.7"/>
    <n v="3515.7274000000002"/>
    <n v="147"/>
    <n v="0.1"/>
  </r>
  <r>
    <x v="0"/>
    <s v="Furniture"/>
    <s v="Tables"/>
    <s v="Corporate"/>
    <n v="17551.558000000001"/>
    <n v="-5299.6557000000003"/>
    <n v="109"/>
    <n v="0.38124999999999998"/>
  </r>
  <r>
    <x v="2"/>
    <s v="Technology"/>
    <s v="Phones"/>
    <s v="Corporate"/>
    <n v="17180.795999999998"/>
    <n v="2391.2797"/>
    <n v="210"/>
    <n v="0.135849056603773"/>
  </r>
  <r>
    <x v="3"/>
    <s v="Office Supplies"/>
    <s v="Storage"/>
    <s v="Consumer"/>
    <n v="16881.745999999999"/>
    <n v="888.66970000000003"/>
    <n v="252"/>
    <n v="8.7878787878787806E-2"/>
  </r>
  <r>
    <x v="1"/>
    <s v="Furniture"/>
    <s v="Furnishings"/>
    <s v="Consumer"/>
    <n v="16072.414000000001"/>
    <n v="4395.1526000000003"/>
    <n v="658"/>
    <n v="2.8571428571428501E-2"/>
  </r>
  <r>
    <x v="1"/>
    <s v="Furniture"/>
    <s v="Tables"/>
    <s v="Home Office"/>
    <n v="16009.184999999999"/>
    <n v="-113.56480000000001"/>
    <n v="90"/>
    <n v="0.2"/>
  </r>
  <r>
    <x v="0"/>
    <s v="Office Supplies"/>
    <s v="Storage"/>
    <s v="Home Office"/>
    <n v="15649.755999999999"/>
    <n v="2578.9904999999999"/>
    <n v="153"/>
    <n v="5.78947368421052E-2"/>
  </r>
  <r>
    <x v="1"/>
    <s v="Office Supplies"/>
    <s v="Appliances"/>
    <s v="Consumer"/>
    <n v="15323.75"/>
    <n v="4293.5136000000002"/>
    <n v="238"/>
    <n v="2.12121212121212E-2"/>
  </r>
  <r>
    <x v="2"/>
    <s v="Furniture"/>
    <s v="Chairs"/>
    <s v="Home Office"/>
    <n v="14307.718999999999"/>
    <n v="464.93709999999999"/>
    <n v="130"/>
    <n v="0.214285714285714"/>
  </r>
  <r>
    <x v="0"/>
    <s v="Furniture"/>
    <s v="Tables"/>
    <s v="Consumer"/>
    <n v="14082.467000000001"/>
    <n v="-3708.3528000000001"/>
    <n v="106"/>
    <n v="0.36363636363636298"/>
  </r>
  <r>
    <x v="0"/>
    <s v="Furniture"/>
    <s v="Furnishings"/>
    <s v="Consumer"/>
    <n v="13177.067999999999"/>
    <n v="3021.1370000000002"/>
    <n v="481"/>
    <n v="8.4671532846715303E-2"/>
  </r>
  <r>
    <x v="0"/>
    <s v="Furniture"/>
    <s v="Bookcases"/>
    <s v="Corporate"/>
    <n v="13168.932000000001"/>
    <n v="964.96299999999997"/>
    <n v="84"/>
    <n v="0.214285714285714"/>
  </r>
  <r>
    <x v="0"/>
    <s v="Furniture"/>
    <s v="Chairs"/>
    <s v="Home Office"/>
    <n v="13110.32"/>
    <n v="1719.7876000000001"/>
    <n v="100"/>
    <n v="0.13214285714285701"/>
  </r>
  <r>
    <x v="2"/>
    <s v="Furniture"/>
    <s v="Bookcases"/>
    <s v="Consumer"/>
    <n v="12960.853999999999"/>
    <n v="-1497.126"/>
    <n v="95"/>
    <n v="0.26083333333333297"/>
  </r>
  <r>
    <x v="1"/>
    <s v="Technology"/>
    <s v="Machines"/>
    <s v="Corporate"/>
    <n v="12666.83"/>
    <n v="960.03899999999999"/>
    <n v="40"/>
    <n v="0.32500000000000001"/>
  </r>
  <r>
    <x v="2"/>
    <s v="Office Supplies"/>
    <s v="Storage"/>
    <s v="Corporate"/>
    <n v="12656.603999999999"/>
    <n v="1084.5101999999999"/>
    <n v="195"/>
    <n v="0.133333333333333"/>
  </r>
  <r>
    <x v="3"/>
    <s v="Furniture"/>
    <s v="Tables"/>
    <s v="Corporate"/>
    <n v="12619.675499999999"/>
    <n v="-1388.2239"/>
    <n v="79"/>
    <n v="0.25937500000000002"/>
  </r>
  <r>
    <x v="2"/>
    <s v="Furniture"/>
    <s v="Tables"/>
    <s v="Corporate"/>
    <n v="12562.593000000001"/>
    <n v="707.18060000000003"/>
    <n v="66"/>
    <n v="0.19375000000000001"/>
  </r>
  <r>
    <x v="1"/>
    <s v="Office Supplies"/>
    <s v="Paper"/>
    <s v="Consumer"/>
    <n v="12495.808000000001"/>
    <n v="5617.3388000000004"/>
    <n v="894"/>
    <n v="3.1896551724137898E-2"/>
  </r>
  <r>
    <x v="0"/>
    <s v="Office Supplies"/>
    <s v="Binders"/>
    <s v="Corporate"/>
    <n v="12048.380999999999"/>
    <n v="2833.0034000000001"/>
    <n v="491"/>
    <n v="0.36076923076923001"/>
  </r>
  <r>
    <x v="3"/>
    <s v="Technology"/>
    <s v="Machines"/>
    <s v="Corporate"/>
    <n v="12001.155000000001"/>
    <n v="-2520.1179000000002"/>
    <n v="15"/>
    <n v="0.375"/>
  </r>
  <r>
    <x v="2"/>
    <s v="Technology"/>
    <s v="Machines"/>
    <s v="Consumer"/>
    <n v="11999.762000000001"/>
    <n v="-1667.028"/>
    <n v="28"/>
    <n v="0.33750000000000002"/>
  </r>
  <r>
    <x v="3"/>
    <s v="Office Supplies"/>
    <s v="Binders"/>
    <s v="Corporate"/>
    <n v="11827.632"/>
    <n v="2496.2001"/>
    <n v="365"/>
    <n v="0.38620689655172402"/>
  </r>
  <r>
    <x v="1"/>
    <s v="Office Supplies"/>
    <s v="Storage"/>
    <s v="Home Office"/>
    <n v="11784.698"/>
    <n v="1325.5389"/>
    <n v="165"/>
    <n v="2.5641025641025599E-2"/>
  </r>
  <r>
    <x v="0"/>
    <s v="Technology"/>
    <s v="Accessories"/>
    <s v="Corporate"/>
    <n v="11747.998"/>
    <n v="2933.5911000000001"/>
    <n v="222"/>
    <n v="8.5714285714285701E-2"/>
  </r>
  <r>
    <x v="2"/>
    <s v="Technology"/>
    <s v="Machines"/>
    <s v="Corporate"/>
    <n v="11716.734"/>
    <n v="-361.50439999999998"/>
    <n v="23"/>
    <n v="0.35714285714285698"/>
  </r>
  <r>
    <x v="3"/>
    <s v="Technology"/>
    <s v="Accessories"/>
    <s v="Consumer"/>
    <n v="11651.564"/>
    <n v="2788.3072000000002"/>
    <n v="265"/>
    <n v="9.4285714285714195E-2"/>
  </r>
  <r>
    <x v="0"/>
    <s v="Technology"/>
    <s v="Machines"/>
    <s v="Home Office"/>
    <n v="11545.7"/>
    <n v="5600.1256000000003"/>
    <n v="25"/>
    <n v="0"/>
  </r>
  <r>
    <x v="3"/>
    <s v="Furniture"/>
    <s v="Chairs"/>
    <s v="Corporate"/>
    <n v="11366.871999999999"/>
    <n v="1183.9545000000001"/>
    <n v="102"/>
    <n v="0.13076923076923"/>
  </r>
  <r>
    <x v="3"/>
    <s v="Office Supplies"/>
    <s v="Storage"/>
    <s v="Corporate"/>
    <n v="11362.258"/>
    <n v="718.5711"/>
    <n v="150"/>
    <n v="9.5000000000000001E-2"/>
  </r>
  <r>
    <x v="1"/>
    <s v="Furniture"/>
    <s v="Bookcases"/>
    <s v="Corporate"/>
    <n v="11293.6875"/>
    <n v="-12.167299999999999"/>
    <n v="93"/>
    <n v="0.245"/>
  </r>
  <r>
    <x v="1"/>
    <s v="Technology"/>
    <s v="Machines"/>
    <s v="Home Office"/>
    <n v="11241.208000000001"/>
    <n v="-3772.5814"/>
    <n v="31"/>
    <n v="0.38750000000000001"/>
  </r>
  <r>
    <x v="1"/>
    <s v="Technology"/>
    <s v="Copiers"/>
    <s v="Home Office"/>
    <n v="11219.788"/>
    <n v="3977.9272000000001"/>
    <n v="24"/>
    <n v="0.12"/>
  </r>
  <r>
    <x v="0"/>
    <s v="Office Supplies"/>
    <s v="Appliances"/>
    <s v="Corporate"/>
    <n v="10981.263999999999"/>
    <n v="2607.2872000000002"/>
    <n v="162"/>
    <n v="6.9767441860465101E-2"/>
  </r>
  <r>
    <x v="3"/>
    <s v="Furniture"/>
    <s v="Furnishings"/>
    <s v="Consumer"/>
    <n v="10870.574000000001"/>
    <n v="1957.1855"/>
    <n v="296"/>
    <n v="0.10370370370370301"/>
  </r>
  <r>
    <x v="1"/>
    <s v="Office Supplies"/>
    <s v="Supplies"/>
    <s v="Consumer"/>
    <n v="10490.204"/>
    <n v="226.31739999999999"/>
    <n v="120"/>
    <n v="4.3749999999999997E-2"/>
  </r>
  <r>
    <x v="0"/>
    <s v="Technology"/>
    <s v="Accessories"/>
    <s v="Home Office"/>
    <n v="10424.317999999999"/>
    <n v="3022.1950000000002"/>
    <n v="148"/>
    <n v="6.5116279069767399E-2"/>
  </r>
  <r>
    <x v="1"/>
    <s v="Office Supplies"/>
    <s v="Appliances"/>
    <s v="Corporate"/>
    <n v="10259.023999999999"/>
    <n v="2738.0167999999999"/>
    <n v="173"/>
    <n v="3.9130434782608602E-2"/>
  </r>
  <r>
    <x v="3"/>
    <s v="Technology"/>
    <s v="Accessories"/>
    <s v="Corporate"/>
    <n v="10175.456"/>
    <n v="3085.4776999999999"/>
    <n v="129"/>
    <n v="5.8823529411764698E-2"/>
  </r>
  <r>
    <x v="3"/>
    <s v="Office Supplies"/>
    <s v="Appliances"/>
    <s v="Corporate"/>
    <n v="10123.636"/>
    <n v="2543.8218000000002"/>
    <n v="100"/>
    <n v="0.10666666666666599"/>
  </r>
  <r>
    <x v="0"/>
    <s v="Furniture"/>
    <s v="Furnishings"/>
    <s v="Corporate"/>
    <n v="9983.3259999999991"/>
    <n v="1956.2306000000001"/>
    <n v="341"/>
    <n v="6.0606060606060601E-2"/>
  </r>
  <r>
    <x v="0"/>
    <s v="Office Supplies"/>
    <s v="Binders"/>
    <s v="Home Office"/>
    <n v="9827.0059999999994"/>
    <n v="1694.2615000000001"/>
    <n v="303"/>
    <n v="0.35277777777777702"/>
  </r>
  <r>
    <x v="2"/>
    <s v="Office Supplies"/>
    <s v="Appliances"/>
    <s v="Consumer"/>
    <n v="9818.7209999999995"/>
    <n v="-3775.6064999999999"/>
    <n v="247"/>
    <n v="0.49393939393939301"/>
  </r>
  <r>
    <x v="2"/>
    <s v="Furniture"/>
    <s v="Furnishings"/>
    <s v="Consumer"/>
    <n v="9499.99"/>
    <n v="-1454.0524"/>
    <n v="399"/>
    <n v="0.41111111111111098"/>
  </r>
  <r>
    <x v="1"/>
    <s v="Office Supplies"/>
    <s v="Binders"/>
    <s v="Home Office"/>
    <n v="8929.2330000000002"/>
    <n v="2789.5821000000001"/>
    <n v="344"/>
    <n v="0.29876543209876499"/>
  </r>
  <r>
    <x v="2"/>
    <s v="Office Supplies"/>
    <s v="Binders"/>
    <s v="Corporate"/>
    <n v="8879.5400000000009"/>
    <n v="-4420.4249"/>
    <n v="427"/>
    <n v="0.515384615384615"/>
  </r>
  <r>
    <x v="3"/>
    <s v="Furniture"/>
    <s v="Bookcases"/>
    <s v="Consumer"/>
    <n v="8716.5619999999999"/>
    <n v="1220.0119999999999"/>
    <n v="85"/>
    <n v="8.4210526315789402E-2"/>
  </r>
  <r>
    <x v="2"/>
    <s v="Technology"/>
    <s v="Accessories"/>
    <s v="Home Office"/>
    <n v="8698.5339999999997"/>
    <n v="2045.3109999999999"/>
    <n v="129"/>
    <n v="0.12903225806451599"/>
  </r>
  <r>
    <x v="0"/>
    <s v="Office Supplies"/>
    <s v="Paper"/>
    <s v="Consumer"/>
    <n v="8661.268"/>
    <n v="3917.3307"/>
    <n v="679"/>
    <n v="5.5614973262031998E-2"/>
  </r>
  <r>
    <x v="1"/>
    <s v="Office Supplies"/>
    <s v="Paper"/>
    <s v="Corporate"/>
    <n v="8610.69"/>
    <n v="3883.2948000000001"/>
    <n v="488"/>
    <n v="3.5658914728682101E-2"/>
  </r>
  <r>
    <x v="2"/>
    <s v="Office Supplies"/>
    <s v="Storage"/>
    <s v="Home Office"/>
    <n v="8601.6980000000003"/>
    <n v="472.01620000000003"/>
    <n v="135"/>
    <n v="0.102702702702702"/>
  </r>
  <r>
    <x v="0"/>
    <s v="Office Supplies"/>
    <s v="Supplies"/>
    <s v="Consumer"/>
    <n v="8567.8259999999991"/>
    <n v="-1171.6357"/>
    <n v="137"/>
    <n v="0.08"/>
  </r>
  <r>
    <x v="2"/>
    <s v="Office Supplies"/>
    <s v="Appliances"/>
    <s v="Home Office"/>
    <n v="8538.5529999999999"/>
    <n v="1596.2195999999999"/>
    <n v="89"/>
    <n v="0.28095238095238001"/>
  </r>
  <r>
    <x v="2"/>
    <s v="Furniture"/>
    <s v="Bookcases"/>
    <s v="Corporate"/>
    <n v="8389.5007999999998"/>
    <n v="-382.71210000000002"/>
    <n v="74"/>
    <n v="0.211111111111111"/>
  </r>
  <r>
    <x v="2"/>
    <s v="Office Supplies"/>
    <s v="Binders"/>
    <s v="Home Office"/>
    <n v="8350.1659999999993"/>
    <n v="1544.4670000000001"/>
    <n v="277"/>
    <n v="0.45217391304347798"/>
  </r>
  <r>
    <x v="3"/>
    <s v="Office Supplies"/>
    <s v="Appliances"/>
    <s v="Consumer"/>
    <n v="8287.3539999999994"/>
    <n v="1455.2632000000001"/>
    <n v="178"/>
    <n v="0.113043478260869"/>
  </r>
  <r>
    <x v="3"/>
    <s v="Technology"/>
    <s v="Phones"/>
    <s v="Home Office"/>
    <n v="8184.0020000000004"/>
    <n v="1463.1514999999999"/>
    <n v="93"/>
    <n v="8.5714285714285701E-2"/>
  </r>
  <r>
    <x v="1"/>
    <s v="Technology"/>
    <s v="Copiers"/>
    <s v="Corporate"/>
    <n v="8069.8419999999996"/>
    <n v="3190.4366"/>
    <n v="18"/>
    <n v="0.16"/>
  </r>
  <r>
    <x v="3"/>
    <s v="Office Supplies"/>
    <s v="Paper"/>
    <s v="Consumer"/>
    <n v="7603.2719999999999"/>
    <n v="3085.3364000000001"/>
    <n v="443"/>
    <n v="0.112605042016806"/>
  </r>
  <r>
    <x v="2"/>
    <s v="Office Supplies"/>
    <s v="Paper"/>
    <s v="Consumer"/>
    <n v="7564.02"/>
    <n v="2914.6377000000002"/>
    <n v="586"/>
    <n v="0.12774193548387"/>
  </r>
  <r>
    <x v="3"/>
    <s v="Office Supplies"/>
    <s v="Storage"/>
    <s v="Home Office"/>
    <n v="7524.0559999999996"/>
    <n v="667.0557"/>
    <n v="86"/>
    <n v="0.1"/>
  </r>
  <r>
    <x v="1"/>
    <s v="Technology"/>
    <s v="Accessories"/>
    <s v="Home Office"/>
    <n v="7511.93"/>
    <n v="2294.9692"/>
    <n v="130"/>
    <n v="3.8095238095238002E-2"/>
  </r>
  <r>
    <x v="0"/>
    <s v="Furniture"/>
    <s v="Tables"/>
    <s v="Home Office"/>
    <n v="7505.7820000000002"/>
    <n v="-2017.3715999999999"/>
    <n v="56"/>
    <n v="0.38"/>
  </r>
  <r>
    <x v="1"/>
    <s v="Furniture"/>
    <s v="Furnishings"/>
    <s v="Corporate"/>
    <n v="7369.3040000000001"/>
    <n v="1673.4023"/>
    <n v="307"/>
    <n v="3.8961038961038898E-2"/>
  </r>
  <r>
    <x v="1"/>
    <s v="Office Supplies"/>
    <s v="Supplies"/>
    <s v="Corporate"/>
    <n v="7180.9440000000004"/>
    <n v="361.61189999999999"/>
    <n v="81"/>
    <n v="2.4E-2"/>
  </r>
  <r>
    <x v="3"/>
    <s v="Furniture"/>
    <s v="Chairs"/>
    <s v="Home Office"/>
    <n v="7005.348"/>
    <n v="1411.1001000000001"/>
    <n v="34"/>
    <n v="6.6666666666666596E-2"/>
  </r>
  <r>
    <x v="3"/>
    <s v="Furniture"/>
    <s v="Tables"/>
    <s v="Home Office"/>
    <n v="6887.6745000000001"/>
    <n v="-657.33439999999996"/>
    <n v="29"/>
    <n v="0.21249999999999999"/>
  </r>
  <r>
    <x v="1"/>
    <s v="Furniture"/>
    <s v="Furnishings"/>
    <s v="Home Office"/>
    <n v="6631.0119999999997"/>
    <n v="1572.7155"/>
    <n v="210"/>
    <n v="3.7288135593220299E-2"/>
  </r>
  <r>
    <x v="3"/>
    <s v="Office Supplies"/>
    <s v="Binders"/>
    <s v="Home Office"/>
    <n v="6585.0060000000003"/>
    <n v="-179.46459999999999"/>
    <n v="187"/>
    <n v="0.35"/>
  </r>
  <r>
    <x v="2"/>
    <s v="Technology"/>
    <s v="Accessories"/>
    <s v="Corporate"/>
    <n v="6195.2380000000003"/>
    <n v="1462.9337"/>
    <n v="195"/>
    <n v="0.10980392156862701"/>
  </r>
  <r>
    <x v="3"/>
    <s v="Office Supplies"/>
    <s v="Supplies"/>
    <s v="Corporate"/>
    <n v="6022.1540000000005"/>
    <n v="-111.6379"/>
    <n v="40"/>
    <n v="9.0909090909090898E-2"/>
  </r>
  <r>
    <x v="0"/>
    <s v="Office Supplies"/>
    <s v="Paper"/>
    <s v="Corporate"/>
    <n v="5975.116"/>
    <n v="2668.9582"/>
    <n v="385"/>
    <n v="6.2745098039215602E-2"/>
  </r>
  <r>
    <x v="2"/>
    <s v="Office Supplies"/>
    <s v="Paper"/>
    <s v="Corporate"/>
    <n v="5952.0020000000004"/>
    <n v="2399.2305000000001"/>
    <n v="426"/>
    <n v="0.13750000000000001"/>
  </r>
  <r>
    <x v="0"/>
    <s v="Furniture"/>
    <s v="Furnishings"/>
    <s v="Home Office"/>
    <n v="5910.9859999999999"/>
    <n v="904.03949999999998"/>
    <n v="193"/>
    <n v="9.3617021276595699E-2"/>
  </r>
  <r>
    <x v="2"/>
    <s v="Furniture"/>
    <s v="Tables"/>
    <s v="Home Office"/>
    <n v="5757.3779999999997"/>
    <n v="-302.6739"/>
    <n v="45"/>
    <n v="0.19285714285714201"/>
  </r>
  <r>
    <x v="1"/>
    <s v="Office Supplies"/>
    <s v="Paper"/>
    <s v="Home Office"/>
    <n v="5557.22"/>
    <n v="2618.6028000000001"/>
    <n v="320"/>
    <n v="2.4719101123595499E-2"/>
  </r>
  <r>
    <x v="0"/>
    <s v="Office Supplies"/>
    <s v="Paper"/>
    <s v="Home Office"/>
    <n v="5536.2179999999998"/>
    <n v="2429.0821000000001"/>
    <n v="336"/>
    <n v="8.5393258426966198E-2"/>
  </r>
  <r>
    <x v="3"/>
    <s v="Technology"/>
    <s v="Accessories"/>
    <s v="Home Office"/>
    <n v="5449.7340000000004"/>
    <n v="1130.7574999999999"/>
    <n v="110"/>
    <n v="0.1"/>
  </r>
  <r>
    <x v="2"/>
    <s v="Office Supplies"/>
    <s v="Appliances"/>
    <s v="Corporate"/>
    <n v="5224.759"/>
    <n v="-459.23059999999998"/>
    <n v="134"/>
    <n v="0.46388888888888802"/>
  </r>
  <r>
    <x v="1"/>
    <s v="Furniture"/>
    <s v="Bookcases"/>
    <s v="Home Office"/>
    <n v="5062.2569999999996"/>
    <n v="332.11259999999999"/>
    <n v="37"/>
    <n v="0.122727272727272"/>
  </r>
  <r>
    <x v="3"/>
    <s v="Technology"/>
    <s v="Copiers"/>
    <s v="Corporate"/>
    <n v="4859.8879999999999"/>
    <n v="1874.9614999999999"/>
    <n v="12"/>
    <n v="6.6666666666666596E-2"/>
  </r>
  <r>
    <x v="1"/>
    <s v="Office Supplies"/>
    <s v="Appliances"/>
    <s v="Home Office"/>
    <n v="4653.5619999999999"/>
    <n v="1229.7394999999999"/>
    <n v="81"/>
    <n v="4.1666666666666602E-2"/>
  </r>
  <r>
    <x v="2"/>
    <s v="Office Supplies"/>
    <s v="Supplies"/>
    <s v="Consumer"/>
    <n v="4559.9120000000003"/>
    <n v="-782.09220000000005"/>
    <n v="63"/>
    <n v="0.16"/>
  </r>
  <r>
    <x v="2"/>
    <s v="Technology"/>
    <s v="Copiers"/>
    <s v="Consumer"/>
    <n v="4519.884"/>
    <n v="1482.9616000000001"/>
    <n v="14"/>
    <n v="0.15"/>
  </r>
  <r>
    <x v="3"/>
    <s v="Furniture"/>
    <s v="Furnishings"/>
    <s v="Corporate"/>
    <n v="4504.68"/>
    <n v="1087.9331"/>
    <n v="214"/>
    <n v="0.12962962962962901"/>
  </r>
  <r>
    <x v="1"/>
    <s v="Office Supplies"/>
    <s v="Art"/>
    <s v="Consumer"/>
    <n v="4477.6239999999998"/>
    <n v="1211.2211"/>
    <n v="519"/>
    <n v="3.5294117647058802E-2"/>
  </r>
  <r>
    <x v="3"/>
    <s v="Technology"/>
    <s v="Copiers"/>
    <s v="Consumer"/>
    <n v="4439.8680000000004"/>
    <n v="1783.9452000000001"/>
    <n v="14"/>
    <n v="0.1"/>
  </r>
  <r>
    <x v="2"/>
    <s v="Office Supplies"/>
    <s v="Supplies"/>
    <s v="Corporate"/>
    <n v="4382.9279999999999"/>
    <n v="101.8498"/>
    <n v="38"/>
    <n v="0.145454545454545"/>
  </r>
  <r>
    <x v="0"/>
    <s v="Technology"/>
    <s v="Copiers"/>
    <s v="Corporate"/>
    <n v="4219.9139999999998"/>
    <n v="1134.9765"/>
    <n v="11"/>
    <n v="0.25"/>
  </r>
  <r>
    <x v="2"/>
    <s v="Office Supplies"/>
    <s v="Paper"/>
    <s v="Home Office"/>
    <n v="3975.88"/>
    <n v="1658.0323000000001"/>
    <n v="213"/>
    <n v="0.114814814814814"/>
  </r>
  <r>
    <x v="0"/>
    <s v="Office Supplies"/>
    <s v="Art"/>
    <s v="Consumer"/>
    <n v="3847.1979999999999"/>
    <n v="989.06420000000003"/>
    <n v="420"/>
    <n v="7.0085470085470003E-2"/>
  </r>
  <r>
    <x v="0"/>
    <s v="Office Supplies"/>
    <s v="Appliances"/>
    <s v="Home Office"/>
    <n v="3817.4459999999999"/>
    <n v="775.36829999999998"/>
    <n v="67"/>
    <n v="7.0588235294117604E-2"/>
  </r>
  <r>
    <x v="1"/>
    <s v="Office Supplies"/>
    <s v="Art"/>
    <s v="Corporate"/>
    <n v="3500.9"/>
    <n v="830.25250000000005"/>
    <n v="229"/>
    <n v="2.5806451612903201E-2"/>
  </r>
  <r>
    <x v="3"/>
    <s v="Office Supplies"/>
    <s v="Paper"/>
    <s v="Corporate"/>
    <n v="3345.3220000000001"/>
    <n v="1410.0633"/>
    <n v="256"/>
    <n v="9.2307692307692299E-2"/>
  </r>
  <r>
    <x v="0"/>
    <s v="Furniture"/>
    <s v="Bookcases"/>
    <s v="Home Office"/>
    <n v="3343.268"/>
    <n v="59.4724"/>
    <n v="28"/>
    <n v="0.18"/>
  </r>
  <r>
    <x v="2"/>
    <s v="Office Supplies"/>
    <s v="Art"/>
    <s v="Consumer"/>
    <n v="3272.3519999999999"/>
    <n v="605.56150000000002"/>
    <n v="374"/>
    <n v="0.136170212765957"/>
  </r>
  <r>
    <x v="3"/>
    <s v="Office Supplies"/>
    <s v="Paper"/>
    <s v="Home Office"/>
    <n v="3202.39"/>
    <n v="1451.6617000000001"/>
    <n v="152"/>
    <n v="8.6486486486486394E-2"/>
  </r>
  <r>
    <x v="2"/>
    <s v="Furniture"/>
    <s v="Furnishings"/>
    <s v="Corporate"/>
    <n v="3143.9560000000001"/>
    <n v="-1209.3583000000001"/>
    <n v="224"/>
    <n v="0.403448275862068"/>
  </r>
  <r>
    <x v="2"/>
    <s v="Technology"/>
    <s v="Machines"/>
    <s v="Home Office"/>
    <n v="3080.8879999999999"/>
    <n v="542.46579999999994"/>
    <n v="15"/>
    <n v="0.28333333333333299"/>
  </r>
  <r>
    <x v="2"/>
    <s v="Technology"/>
    <s v="Copiers"/>
    <s v="Home Office"/>
    <n v="3059.944"/>
    <n v="1335.9754"/>
    <n v="6"/>
    <n v="0.05"/>
  </r>
  <r>
    <x v="2"/>
    <s v="Furniture"/>
    <s v="Bookcases"/>
    <s v="Home Office"/>
    <n v="2806.8220000000001"/>
    <n v="-118.06619999999999"/>
    <n v="23"/>
    <n v="0.19750000000000001"/>
  </r>
  <r>
    <x v="3"/>
    <s v="Office Supplies"/>
    <s v="Art"/>
    <s v="Consumer"/>
    <n v="2654.7559999999999"/>
    <n v="648.45429999999999"/>
    <n v="312"/>
    <n v="9.8765432098765399E-2"/>
  </r>
  <r>
    <x v="2"/>
    <s v="Furniture"/>
    <s v="Furnishings"/>
    <s v="Home Office"/>
    <n v="2610.424"/>
    <n v="-1242.8061"/>
    <n v="135"/>
    <n v="0.38461538461538403"/>
  </r>
  <r>
    <x v="1"/>
    <s v="Office Supplies"/>
    <s v="Labels"/>
    <s v="Consumer"/>
    <n v="2445.0340000000001"/>
    <n v="1167.3533"/>
    <n v="259"/>
    <n v="1.26984126984126E-2"/>
  </r>
  <r>
    <x v="2"/>
    <s v="Office Supplies"/>
    <s v="Envelopes"/>
    <s v="Consumer"/>
    <n v="2365.4499999999998"/>
    <n v="912.66160000000002"/>
    <n v="99"/>
    <n v="0.12413793103448199"/>
  </r>
  <r>
    <x v="0"/>
    <s v="Office Supplies"/>
    <s v="Art"/>
    <s v="Corporate"/>
    <n v="2278.402"/>
    <n v="566.17160000000001"/>
    <n v="287"/>
    <n v="7.2222222222222202E-2"/>
  </r>
  <r>
    <x v="1"/>
    <s v="Office Supplies"/>
    <s v="Labels"/>
    <s v="Corporate"/>
    <n v="2132.7260000000001"/>
    <n v="904.59019999999998"/>
    <n v="133"/>
    <n v="3.03030303030303E-2"/>
  </r>
  <r>
    <x v="3"/>
    <s v="Office Supplies"/>
    <s v="Supplies"/>
    <s v="Consumer"/>
    <n v="2123.5540000000001"/>
    <n v="69.859200000000001"/>
    <n v="39"/>
    <n v="0.123076923076923"/>
  </r>
  <r>
    <x v="1"/>
    <s v="Office Supplies"/>
    <s v="Envelopes"/>
    <s v="Consumer"/>
    <n v="2118.616"/>
    <n v="966.44060000000002"/>
    <n v="118"/>
    <n v="5.7142857142857099E-2"/>
  </r>
  <r>
    <x v="0"/>
    <s v="Office Supplies"/>
    <s v="Envelopes"/>
    <s v="Consumer"/>
    <n v="2095.5219999999999"/>
    <n v="881.87969999999996"/>
    <n v="133"/>
    <n v="7.69230769230769E-2"/>
  </r>
  <r>
    <x v="3"/>
    <s v="Furniture"/>
    <s v="Furnishings"/>
    <s v="Home Office"/>
    <n v="1931.43"/>
    <n v="397.5643"/>
    <n v="105"/>
    <n v="7.3333333333333306E-2"/>
  </r>
  <r>
    <x v="3"/>
    <s v="Office Supplies"/>
    <s v="Labels"/>
    <s v="Consumer"/>
    <n v="1868.222"/>
    <n v="840.90380000000005"/>
    <n v="94"/>
    <n v="0.1"/>
  </r>
  <r>
    <x v="0"/>
    <s v="Office Supplies"/>
    <s v="Supplies"/>
    <s v="Corporate"/>
    <n v="1849.258"/>
    <n v="-12.897399999999999"/>
    <n v="43"/>
    <n v="4.2857142857142802E-2"/>
  </r>
  <r>
    <x v="1"/>
    <s v="Office Supplies"/>
    <s v="Envelopes"/>
    <s v="Corporate"/>
    <n v="1656.5920000000001"/>
    <n v="780.59979999999996"/>
    <n v="79"/>
    <n v="1.7391304347826E-2"/>
  </r>
  <r>
    <x v="0"/>
    <s v="Office Supplies"/>
    <s v="Labels"/>
    <s v="Consumer"/>
    <n v="1652.8"/>
    <n v="733.529"/>
    <n v="239"/>
    <n v="5.7142857142857099E-2"/>
  </r>
  <r>
    <x v="0"/>
    <s v="Office Supplies"/>
    <s v="Envelopes"/>
    <s v="Corporate"/>
    <n v="1579.2660000000001"/>
    <n v="663.58519999999999"/>
    <n v="97"/>
    <n v="0.08"/>
  </r>
  <r>
    <x v="2"/>
    <s v="Office Supplies"/>
    <s v="Art"/>
    <s v="Corporate"/>
    <n v="1478.742"/>
    <n v="343.96929999999998"/>
    <n v="177"/>
    <n v="0.104545454545454"/>
  </r>
  <r>
    <x v="3"/>
    <s v="Office Supplies"/>
    <s v="Envelopes"/>
    <s v="Corporate"/>
    <n v="1470.904"/>
    <n v="643.37980000000005"/>
    <n v="90"/>
    <n v="5.7142857142857099E-2"/>
  </r>
  <r>
    <x v="0"/>
    <s v="Office Supplies"/>
    <s v="Art"/>
    <s v="Home Office"/>
    <n v="1360.164"/>
    <n v="344.70850000000002"/>
    <n v="142"/>
    <n v="6.15384615384615E-2"/>
  </r>
  <r>
    <x v="3"/>
    <s v="Office Supplies"/>
    <s v="Art"/>
    <s v="Corporate"/>
    <n v="1332.404"/>
    <n v="264.2543"/>
    <n v="157"/>
    <n v="0.105"/>
  </r>
  <r>
    <x v="2"/>
    <s v="Office Supplies"/>
    <s v="Envelopes"/>
    <s v="Corporate"/>
    <n v="1235.9079999999999"/>
    <n v="483.66419999999999"/>
    <n v="57"/>
    <n v="0.146666666666666"/>
  </r>
  <r>
    <x v="1"/>
    <s v="Office Supplies"/>
    <s v="Art"/>
    <s v="Home Office"/>
    <n v="1233.5419999999999"/>
    <n v="332.6234"/>
    <n v="178"/>
    <n v="2.69230769230769E-2"/>
  </r>
  <r>
    <x v="3"/>
    <s v="Office Supplies"/>
    <s v="Envelopes"/>
    <s v="Consumer"/>
    <n v="1191.558"/>
    <n v="503.4307"/>
    <n v="92"/>
    <n v="0.1"/>
  </r>
  <r>
    <x v="3"/>
    <s v="Furniture"/>
    <s v="Bookcases"/>
    <s v="Corporate"/>
    <n v="1153.8040000000001"/>
    <n v="68.366600000000005"/>
    <n v="20"/>
    <n v="0.16"/>
  </r>
  <r>
    <x v="3"/>
    <s v="Office Supplies"/>
    <s v="Appliances"/>
    <s v="Home Office"/>
    <n v="1114.336"/>
    <n v="124.8546"/>
    <n v="15"/>
    <n v="0.12"/>
  </r>
  <r>
    <x v="2"/>
    <s v="Office Supplies"/>
    <s v="Labels"/>
    <s v="Corporate"/>
    <n v="1095.1079999999999"/>
    <n v="487.17"/>
    <n v="80"/>
    <n v="0.147826086956521"/>
  </r>
  <r>
    <x v="2"/>
    <s v="Office Supplies"/>
    <s v="Envelopes"/>
    <s v="Home Office"/>
    <n v="1035.5139999999999"/>
    <n v="381.20249999999999"/>
    <n v="50"/>
    <n v="0.12"/>
  </r>
  <r>
    <x v="3"/>
    <s v="Furniture"/>
    <s v="Bookcases"/>
    <s v="Home Office"/>
    <n v="1028.9960000000001"/>
    <n v="51.113199999999999"/>
    <n v="13"/>
    <n v="0.1"/>
  </r>
  <r>
    <x v="2"/>
    <s v="Office Supplies"/>
    <s v="Art"/>
    <s v="Home Office"/>
    <n v="1014.246"/>
    <n v="245.6283"/>
    <n v="127"/>
    <n v="0.110526315789473"/>
  </r>
  <r>
    <x v="2"/>
    <s v="Office Supplies"/>
    <s v="Labels"/>
    <s v="Consumer"/>
    <n v="743.20600000000002"/>
    <n v="334.20229999999998"/>
    <n v="123"/>
    <n v="9.69696969696969E-2"/>
  </r>
  <r>
    <x v="0"/>
    <s v="Office Supplies"/>
    <s v="Envelopes"/>
    <s v="Home Office"/>
    <n v="701.08600000000001"/>
    <n v="266.94409999999999"/>
    <n v="37"/>
    <n v="0.1"/>
  </r>
  <r>
    <x v="3"/>
    <s v="Office Supplies"/>
    <s v="Envelopes"/>
    <s v="Home Office"/>
    <n v="683.09400000000005"/>
    <n v="318.66649999999998"/>
    <n v="24"/>
    <n v="2.8571428571428501E-2"/>
  </r>
  <r>
    <x v="3"/>
    <s v="Office Supplies"/>
    <s v="Art"/>
    <s v="Home Office"/>
    <n v="668.46199999999999"/>
    <n v="145.87799999999999"/>
    <n v="78"/>
    <n v="0.104761904761904"/>
  </r>
  <r>
    <x v="2"/>
    <s v="Office Supplies"/>
    <s v="Labels"/>
    <s v="Home Office"/>
    <n v="613.15800000000002"/>
    <n v="251.7071"/>
    <n v="81"/>
    <n v="0.1"/>
  </r>
  <r>
    <x v="1"/>
    <s v="Office Supplies"/>
    <s v="Fasteners"/>
    <s v="Consumer"/>
    <n v="558.39599999999996"/>
    <n v="185.20869999999999"/>
    <n v="155"/>
    <n v="1.9047619047619001E-2"/>
  </r>
  <r>
    <x v="2"/>
    <s v="Office Supplies"/>
    <s v="Supplies"/>
    <s v="Home Office"/>
    <n v="524.53200000000004"/>
    <n v="18.354299999999999"/>
    <n v="21"/>
    <n v="0.08"/>
  </r>
  <r>
    <x v="0"/>
    <s v="Office Supplies"/>
    <s v="Labels"/>
    <s v="Corporate"/>
    <n v="508.58600000000001"/>
    <n v="218.62989999999999"/>
    <n v="98"/>
    <n v="6.9565217391304293E-2"/>
  </r>
  <r>
    <x v="1"/>
    <s v="Office Supplies"/>
    <s v="Labels"/>
    <s v="Home Office"/>
    <n v="500.96600000000001"/>
    <n v="231.1788"/>
    <n v="88"/>
    <n v="0.02"/>
  </r>
  <r>
    <x v="1"/>
    <s v="Office Supplies"/>
    <s v="Supplies"/>
    <s v="Home Office"/>
    <n v="455.97399999999999"/>
    <n v="38.117199999999997"/>
    <n v="37"/>
    <n v="0.05"/>
  </r>
  <r>
    <x v="0"/>
    <s v="Office Supplies"/>
    <s v="Labels"/>
    <s v="Home Office"/>
    <n v="441.548"/>
    <n v="177.12110000000001"/>
    <n v="83"/>
    <n v="9.5238095238095205E-2"/>
  </r>
  <r>
    <x v="0"/>
    <s v="Office Supplies"/>
    <s v="Fasteners"/>
    <s v="Consumer"/>
    <n v="423.69799999999998"/>
    <n v="149.173"/>
    <n v="136"/>
    <n v="6.2068965517241302E-2"/>
  </r>
  <r>
    <x v="2"/>
    <s v="Office Supplies"/>
    <s v="Fasteners"/>
    <s v="Consumer"/>
    <n v="422.43200000000002"/>
    <n v="128.14769999999999"/>
    <n v="122"/>
    <n v="0.14000000000000001"/>
  </r>
  <r>
    <x v="3"/>
    <s v="Office Supplies"/>
    <s v="Labels"/>
    <s v="Corporate"/>
    <n v="365.226"/>
    <n v="150.43719999999999"/>
    <n v="87"/>
    <n v="0.104347826086956"/>
  </r>
  <r>
    <x v="0"/>
    <s v="Office Supplies"/>
    <s v="Supplies"/>
    <s v="Home Office"/>
    <n v="343.03199999999998"/>
    <n v="29.3979"/>
    <n v="15"/>
    <n v="5.7142857142857099E-2"/>
  </r>
  <r>
    <x v="1"/>
    <s v="Office Supplies"/>
    <s v="Envelopes"/>
    <s v="Home Office"/>
    <n v="342.892"/>
    <n v="161.72200000000001"/>
    <n v="30"/>
    <n v="4.4444444444444398E-2"/>
  </r>
  <r>
    <x v="0"/>
    <s v="Office Supplies"/>
    <s v="Fasteners"/>
    <s v="Corporate"/>
    <n v="286.09199999999998"/>
    <n v="76.470399999999998"/>
    <n v="116"/>
    <n v="0.114285714285714"/>
  </r>
  <r>
    <x v="3"/>
    <s v="Office Supplies"/>
    <s v="Fasteners"/>
    <s v="Consumer"/>
    <n v="276.416"/>
    <n v="114.2714"/>
    <n v="60"/>
    <n v="6.15384615384615E-2"/>
  </r>
  <r>
    <x v="2"/>
    <s v="Office Supplies"/>
    <s v="Fasteners"/>
    <s v="Corporate"/>
    <n v="232.11"/>
    <n v="78.556299999999993"/>
    <n v="71"/>
    <n v="0.14444444444444399"/>
  </r>
  <r>
    <x v="1"/>
    <s v="Office Supplies"/>
    <s v="Fasteners"/>
    <s v="Corporate"/>
    <n v="184.45400000000001"/>
    <n v="69.306399999999996"/>
    <n v="50"/>
    <n v="9.2307692307692299E-2"/>
  </r>
  <r>
    <x v="1"/>
    <s v="Office Supplies"/>
    <s v="Fasteners"/>
    <s v="Home Office"/>
    <n v="180.36600000000001"/>
    <n v="20.675599999999999"/>
    <n v="58"/>
    <n v="2.3529411764705799E-2"/>
  </r>
  <r>
    <x v="3"/>
    <s v="Office Supplies"/>
    <s v="Supplies"/>
    <s v="Home Office"/>
    <n v="173.22"/>
    <n v="43.655999999999999"/>
    <n v="13"/>
    <n v="0.08"/>
  </r>
  <r>
    <x v="3"/>
    <s v="Office Supplies"/>
    <s v="Fasteners"/>
    <s v="Home Office"/>
    <n v="146.26599999999999"/>
    <n v="31.876799999999999"/>
    <n v="30"/>
    <n v="6.6666666666666596E-2"/>
  </r>
  <r>
    <x v="2"/>
    <s v="Office Supplies"/>
    <s v="Fasteners"/>
    <s v="Home Office"/>
    <n v="123.488"/>
    <n v="29.9146"/>
    <n v="34"/>
    <n v="8.5714285714285701E-2"/>
  </r>
  <r>
    <x v="3"/>
    <s v="Office Supplies"/>
    <s v="Labels"/>
    <s v="Home Office"/>
    <n v="119.732"/>
    <n v="49.4313"/>
    <n v="35"/>
    <n v="0.133333333333333"/>
  </r>
  <r>
    <x v="0"/>
    <s v="Office Supplies"/>
    <s v="Fasteners"/>
    <s v="Home Office"/>
    <n v="109.928"/>
    <n v="38.3474"/>
    <n v="46"/>
    <n v="0.12727272727272701"/>
  </r>
  <r>
    <x v="3"/>
    <s v="Office Supplies"/>
    <s v="Fasteners"/>
    <s v="Corporate"/>
    <n v="80.634"/>
    <n v="27.569900000000001"/>
    <n v="36"/>
    <n v="0.14285714285714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3" rowHeaderCaption="Category">
  <location ref="A11:C15" firstHeaderRow="0" firstDataRow="1" firstDataCol="1"/>
  <pivotFields count="3">
    <pivotField axis="axisRow" allDrilled="1" showAll="0" dataSourceSort="1" defaultAttributeDrillState="1">
      <items count="4">
        <item x="0"/>
        <item x="1"/>
        <item x="2"/>
        <item t="default"/>
      </items>
    </pivotField>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Sum of total_sales" fld="1" baseField="0" baseItem="0"/>
    <dataField name="Sum of total_profit" fld="2" baseField="0" baseItem="0"/>
  </dataFields>
  <chartFormats count="2">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sales_dashboard_data]"/>
        <x15:activeTabTopLevelEntity name="[sales_dashboard_data]"/>
      </x15:pivotTableUISettings>
    </ext>
  </extLst>
</pivotTableDefinition>
</file>

<file path=xl/pivotTables/pivotTable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5" rowHeaderCaption="Segment">
  <location ref="A39:C43" firstHeaderRow="0" firstDataRow="1" firstDataCol="1"/>
  <pivotFields count="3">
    <pivotField axis="axisRow" allDrilled="1" showAll="0" dataSourceSort="1" defaultAttributeDrillState="1">
      <items count="4">
        <item x="0"/>
        <item x="1"/>
        <item x="2"/>
        <item t="default"/>
      </items>
    </pivotField>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Sum of total_sales" fld="1" baseField="0" baseItem="0"/>
    <dataField name="Sum of total_profit" fld="2" baseField="0" baseItem="0"/>
  </dataFields>
  <chartFormats count="2">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shboard_data]"/>
      </x15:pivotTableUISettings>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5" rowHeaderCaption="Sub-Category">
  <location ref="A18:C36" firstHeaderRow="0" firstDataRow="1" firstDataCol="1"/>
  <pivotFields count="3">
    <pivotField axis="axisRow" allDrilled="1" showAll="0" sortType="a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dataField="1" showAll="0"/>
    <pivotField dataField="1" showAll="0"/>
  </pivotFields>
  <rowFields count="1">
    <field x="0"/>
  </rowFields>
  <rowItems count="18">
    <i>
      <x v="8"/>
    </i>
    <i>
      <x v="10"/>
    </i>
    <i>
      <x v="7"/>
    </i>
    <i>
      <x v="2"/>
    </i>
    <i>
      <x v="15"/>
    </i>
    <i>
      <x v="12"/>
    </i>
    <i>
      <x v="9"/>
    </i>
    <i>
      <x v="1"/>
    </i>
    <i>
      <x v="4"/>
    </i>
    <i>
      <x v="6"/>
    </i>
    <i>
      <x/>
    </i>
    <i>
      <x v="11"/>
    </i>
    <i>
      <x v="3"/>
    </i>
    <i>
      <x v="16"/>
    </i>
    <i>
      <x v="14"/>
    </i>
    <i>
      <x v="5"/>
    </i>
    <i>
      <x v="13"/>
    </i>
    <i t="grand">
      <x/>
    </i>
  </rowItems>
  <colFields count="1">
    <field x="-2"/>
  </colFields>
  <colItems count="2">
    <i>
      <x/>
    </i>
    <i i="1">
      <x v="1"/>
    </i>
  </colItems>
  <dataFields count="2">
    <dataField name="Sum of total_sales" fld="1" baseField="0" baseItem="0"/>
    <dataField name="Sum of total_profit" fld="2" baseField="0" baseItem="0"/>
  </dataFields>
  <chartFormats count="2">
    <chartFormat chart="14"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shboard_data]"/>
      </x15:pivotTableUISettings>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rowHeaderCaption="Region">
  <location ref="A2:C7" firstHeaderRow="0" firstDataRow="1" firstDataCol="1"/>
  <pivotFields count="8">
    <pivotField axis="axisRow" showAll="0">
      <items count="5">
        <item x="2"/>
        <item x="0"/>
        <item x="3"/>
        <item x="1"/>
        <item t="default"/>
      </items>
    </pivotField>
    <pivotField showAll="0"/>
    <pivotField showAll="0"/>
    <pivotField showAll="0"/>
    <pivotField dataField="1" showAll="0"/>
    <pivotField dataField="1" showAll="0"/>
    <pivotField showAll="0"/>
    <pivotField showAll="0"/>
  </pivotFields>
  <rowFields count="1">
    <field x="0"/>
  </rowFields>
  <rowItems count="5">
    <i>
      <x/>
    </i>
    <i>
      <x v="1"/>
    </i>
    <i>
      <x v="2"/>
    </i>
    <i>
      <x v="3"/>
    </i>
    <i t="grand">
      <x/>
    </i>
  </rowItems>
  <colFields count="1">
    <field x="-2"/>
  </colFields>
  <colItems count="2">
    <i>
      <x/>
    </i>
    <i i="1">
      <x v="1"/>
    </i>
  </colItems>
  <dataFields count="2">
    <dataField name="Sum of total_sales" fld="4" baseField="0" baseItem="0"/>
    <dataField name="Sum of total_profit" fld="5" baseField="0" baseItem="0"/>
  </dataFields>
  <chartFormats count="2">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sales_dashboard_data" backgroundRefresh="0" connectionId="1" autoFormatId="16" applyNumberFormats="0" applyBorderFormats="0" applyFontFormats="0" applyPatternFormats="0" applyAlignmentFormats="0" applyWidthHeightFormats="0">
  <queryTableRefresh nextId="10">
    <queryTableFields count="9">
      <queryTableField id="1" name="region" tableColumnId="1"/>
      <queryTableField id="9" dataBound="0" tableColumnId="9"/>
      <queryTableField id="2" name="category" tableColumnId="2"/>
      <queryTableField id="3" name="sub_category" tableColumnId="3"/>
      <queryTableField id="4" name="segment" tableColumnId="4"/>
      <queryTableField id="5" name="total_sales" tableColumnId="5"/>
      <queryTableField id="6" name="total_profit" tableColumnId="6"/>
      <queryTableField id="7" name="total_quantity" tableColumnId="7"/>
      <queryTableField id="8" name="avg_discount" tableColumnId="8"/>
    </queryTableFields>
  </queryTableRefresh>
  <extLst>
    <ext xmlns:x15="http://schemas.microsoft.com/office/spreadsheetml/2010/11/main" uri="{883FBD77-0823-4a55-B5E3-86C4891E6966}">
      <x15:queryTable sourceDataName="sales_dashboard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sales_dashboard_data].[region]">
  <data>
    <olap pivotCacheId="1">
      <levels count="2">
        <level uniqueName="[sales_dashboard_data].[region].[(All)]" sourceCaption="(All)" count="0"/>
        <level uniqueName="[sales_dashboard_data].[region].[region]" sourceCaption="region" count="4">
          <ranges>
            <range startItem="0">
              <i n="[sales_dashboard_data].[region].&amp;[Central]" c="Central"/>
              <i n="[sales_dashboard_data].[region].&amp;[East]" c="East"/>
              <i n="[sales_dashboard_data].[region].&amp;[South]" c="South"/>
              <i n="[sales_dashboard_data].[region].&amp;[West]" c="West"/>
            </range>
          </ranges>
        </level>
      </levels>
      <selections count="1">
        <selection n="[sales_dashboard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sales_dashboard_data].[category]">
  <data>
    <olap pivotCacheId="1">
      <levels count="2">
        <level uniqueName="[sales_dashboard_data].[category].[(All)]" sourceCaption="(All)" count="0"/>
        <level uniqueName="[sales_dashboard_data].[category].[category]" sourceCaption="category" count="3">
          <ranges>
            <range startItem="0">
              <i n="[sales_dashboard_data].[category].&amp;[Furniture]" c="Furniture"/>
              <i n="[sales_dashboard_data].[category].&amp;[Office Supplies]" c="Office Supplies"/>
              <i n="[sales_dashboard_data].[category].&amp;[Technology]" c="Technology"/>
            </range>
          </ranges>
        </level>
      </levels>
      <selections count="1">
        <selection n="[sales_dashboard_data].[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ales_dashboard_data].[segment]">
  <data>
    <olap pivotCacheId="1">
      <levels count="2">
        <level uniqueName="[sales_dashboard_data].[segment].[(All)]" sourceCaption="(All)" count="0"/>
        <level uniqueName="[sales_dashboard_data].[segment].[segment]" sourceCaption="segment" count="3">
          <ranges>
            <range startItem="0">
              <i n="[sales_dashboard_data].[segment].&amp;[Consumer]" c="Consumer"/>
              <i n="[sales_dashboard_data].[segment].&amp;[Corporate]" c="Corporate"/>
              <i n="[sales_dashboard_data].[segment].&amp;[Home Office]" c="Home Office"/>
            </range>
          </ranges>
        </level>
      </levels>
      <selections count="1">
        <selection n="[sales_dashboard_data].[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level="1" rowHeight="241300"/>
  <slicer name="category" cache="Slicer_category" caption="category" level="1" rowHeight="241300"/>
  <slicer name="segment" cache="Slicer_segment" caption="segment"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sales_dashboard_data" displayName="Table_sales_dashboard_data" ref="A1:I204" tableType="queryTable" totalsRowShown="0">
  <autoFilter ref="A1:I204"/>
  <tableColumns count="9">
    <tableColumn id="1" uniqueName="1" name="region" queryTableFieldId="1"/>
    <tableColumn id="9" uniqueName="9" name="month" queryTableFieldId="9" dataDxfId="0">
      <calculatedColumnFormula>TEXT(Table_sales_dashboard_data[total_sales], "yyyy-mm")</calculatedColumnFormula>
    </tableColumn>
    <tableColumn id="2" uniqueName="2" name="category" queryTableFieldId="2"/>
    <tableColumn id="3" uniqueName="3" name="sub_category" queryTableFieldId="3"/>
    <tableColumn id="4" uniqueName="4" name="segment" queryTableFieldId="4"/>
    <tableColumn id="5" uniqueName="5" name="total_sales" queryTableFieldId="5"/>
    <tableColumn id="6" uniqueName="6" name="total_profit" queryTableFieldId="6"/>
    <tableColumn id="7" uniqueName="7" name="total_quantity" queryTableFieldId="7"/>
    <tableColumn id="8" uniqueName="8" name="avg_discount" queryTableField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4"/>
  <sheetViews>
    <sheetView workbookViewId="0">
      <selection activeCell="I4" sqref="I4"/>
    </sheetView>
  </sheetViews>
  <sheetFormatPr defaultRowHeight="14.5" x14ac:dyDescent="0.35"/>
  <cols>
    <col min="1" max="1" width="8.36328125" bestFit="1" customWidth="1"/>
    <col min="2" max="2" width="8.36328125" customWidth="1"/>
    <col min="3" max="3" width="13.1796875" bestFit="1" customWidth="1"/>
    <col min="4" max="4" width="14.26953125" bestFit="1" customWidth="1"/>
    <col min="5" max="5" width="11.1796875" bestFit="1" customWidth="1"/>
    <col min="6" max="6" width="12.1796875" bestFit="1" customWidth="1"/>
    <col min="7" max="7" width="12.81640625" bestFit="1" customWidth="1"/>
    <col min="8" max="8" width="15.26953125" bestFit="1" customWidth="1"/>
    <col min="9" max="9" width="14.08984375" bestFit="1" customWidth="1"/>
  </cols>
  <sheetData>
    <row r="1" spans="1:9" x14ac:dyDescent="0.35">
      <c r="A1" t="s">
        <v>0</v>
      </c>
      <c r="B1" t="s">
        <v>46</v>
      </c>
      <c r="C1" t="s">
        <v>1</v>
      </c>
      <c r="D1" t="s">
        <v>2</v>
      </c>
      <c r="E1" t="s">
        <v>3</v>
      </c>
      <c r="F1" t="s">
        <v>4</v>
      </c>
      <c r="G1" t="s">
        <v>5</v>
      </c>
      <c r="H1" t="s">
        <v>6</v>
      </c>
      <c r="I1" t="s">
        <v>7</v>
      </c>
    </row>
    <row r="2" spans="1:9" x14ac:dyDescent="0.35">
      <c r="A2" t="s">
        <v>8</v>
      </c>
      <c r="B2" t="str">
        <f>TEXT(Table_sales_dashboard_data[total_sales], "yyyy-mm")</f>
        <v>2063-04</v>
      </c>
      <c r="C2" t="s">
        <v>9</v>
      </c>
      <c r="D2" t="s">
        <v>10</v>
      </c>
      <c r="E2" t="s">
        <v>11</v>
      </c>
      <c r="F2">
        <v>59645.133000000002</v>
      </c>
      <c r="G2">
        <v>4917.3951999999999</v>
      </c>
      <c r="H2">
        <v>387</v>
      </c>
      <c r="I2">
        <v>0.16170212765957401</v>
      </c>
    </row>
    <row r="3" spans="1:9" x14ac:dyDescent="0.35">
      <c r="A3" t="s">
        <v>8</v>
      </c>
      <c r="B3" t="str">
        <f>TEXT(Table_sales_dashboard_data[total_sales], "yyyy-mm")</f>
        <v>2041-01</v>
      </c>
      <c r="C3" t="s">
        <v>12</v>
      </c>
      <c r="D3" t="s">
        <v>13</v>
      </c>
      <c r="E3" t="s">
        <v>11</v>
      </c>
      <c r="F3">
        <v>51512.038</v>
      </c>
      <c r="G3">
        <v>7328.2536</v>
      </c>
      <c r="H3">
        <v>514</v>
      </c>
      <c r="I3">
        <v>0.157142857142857</v>
      </c>
    </row>
    <row r="4" spans="1:9" x14ac:dyDescent="0.35">
      <c r="A4" t="s">
        <v>14</v>
      </c>
      <c r="B4" t="str">
        <f>TEXT(Table_sales_dashboard_data[total_sales], "yyyy-mm")</f>
        <v>2038-03</v>
      </c>
      <c r="C4" t="s">
        <v>12</v>
      </c>
      <c r="D4" t="s">
        <v>13</v>
      </c>
      <c r="E4" t="s">
        <v>11</v>
      </c>
      <c r="F4">
        <v>50465.735999999997</v>
      </c>
      <c r="G4">
        <v>4468.9296999999997</v>
      </c>
      <c r="H4">
        <v>546</v>
      </c>
      <c r="I4">
        <v>0.2</v>
      </c>
    </row>
    <row r="5" spans="1:9" x14ac:dyDescent="0.35">
      <c r="A5" t="s">
        <v>14</v>
      </c>
      <c r="B5" t="str">
        <f>TEXT(Table_sales_dashboard_data[total_sales], "yyyy-mm")</f>
        <v>2019-01</v>
      </c>
      <c r="C5" t="s">
        <v>9</v>
      </c>
      <c r="D5" t="s">
        <v>10</v>
      </c>
      <c r="E5" t="s">
        <v>11</v>
      </c>
      <c r="F5">
        <v>43480.008000000002</v>
      </c>
      <c r="G5">
        <v>1380.0007000000001</v>
      </c>
      <c r="H5">
        <v>345</v>
      </c>
      <c r="I5">
        <v>0.2</v>
      </c>
    </row>
    <row r="6" spans="1:9" x14ac:dyDescent="0.35">
      <c r="A6" t="s">
        <v>15</v>
      </c>
      <c r="B6" t="str">
        <f>TEXT(Table_sales_dashboard_data[total_sales], "yyyy-mm")</f>
        <v>2017-07</v>
      </c>
      <c r="C6" t="s">
        <v>9</v>
      </c>
      <c r="D6" t="s">
        <v>10</v>
      </c>
      <c r="E6" t="s">
        <v>11</v>
      </c>
      <c r="F6">
        <v>42933.375</v>
      </c>
      <c r="G6">
        <v>2920.9013</v>
      </c>
      <c r="H6">
        <v>307</v>
      </c>
      <c r="I6">
        <v>0.2</v>
      </c>
    </row>
    <row r="7" spans="1:9" x14ac:dyDescent="0.35">
      <c r="A7" t="s">
        <v>14</v>
      </c>
      <c r="B7" t="str">
        <f>TEXT(Table_sales_dashboard_data[total_sales], "yyyy-mm")</f>
        <v>2011-03</v>
      </c>
      <c r="C7" t="s">
        <v>9</v>
      </c>
      <c r="D7" t="s">
        <v>16</v>
      </c>
      <c r="E7" t="s">
        <v>11</v>
      </c>
      <c r="F7">
        <v>40607.485999999997</v>
      </c>
      <c r="G7">
        <v>521.97170000000006</v>
      </c>
      <c r="H7">
        <v>226</v>
      </c>
      <c r="I7">
        <v>0.20526315789473601</v>
      </c>
    </row>
    <row r="8" spans="1:9" x14ac:dyDescent="0.35">
      <c r="A8" t="s">
        <v>15</v>
      </c>
      <c r="B8" t="str">
        <f>TEXT(Table_sales_dashboard_data[total_sales], "yyyy-mm")</f>
        <v>2008-09</v>
      </c>
      <c r="C8" t="s">
        <v>17</v>
      </c>
      <c r="D8" t="s">
        <v>18</v>
      </c>
      <c r="E8" t="s">
        <v>11</v>
      </c>
      <c r="F8">
        <v>39693.576000000001</v>
      </c>
      <c r="G8">
        <v>1832.3209999999999</v>
      </c>
      <c r="H8">
        <v>769</v>
      </c>
      <c r="I8">
        <v>0.52642487046632103</v>
      </c>
    </row>
    <row r="9" spans="1:9" x14ac:dyDescent="0.35">
      <c r="A9" t="s">
        <v>15</v>
      </c>
      <c r="B9" t="str">
        <f>TEXT(Table_sales_dashboard_data[total_sales], "yyyy-mm")</f>
        <v>2001-08</v>
      </c>
      <c r="C9" t="s">
        <v>12</v>
      </c>
      <c r="D9" t="s">
        <v>13</v>
      </c>
      <c r="E9" t="s">
        <v>11</v>
      </c>
      <c r="F9">
        <v>37108.786</v>
      </c>
      <c r="G9">
        <v>6416.0195999999996</v>
      </c>
      <c r="H9">
        <v>356</v>
      </c>
      <c r="I9">
        <v>0.12380952380952299</v>
      </c>
    </row>
    <row r="10" spans="1:9" x14ac:dyDescent="0.35">
      <c r="A10" t="s">
        <v>14</v>
      </c>
      <c r="B10" t="str">
        <f>TEXT(Table_sales_dashboard_data[total_sales], "yyyy-mm")</f>
        <v>1999-04</v>
      </c>
      <c r="C10" t="s">
        <v>9</v>
      </c>
      <c r="D10" t="s">
        <v>10</v>
      </c>
      <c r="E10" t="s">
        <v>19</v>
      </c>
      <c r="F10">
        <v>36279.224000000002</v>
      </c>
      <c r="G10">
        <v>1233.2304999999999</v>
      </c>
      <c r="H10">
        <v>250</v>
      </c>
      <c r="I10">
        <v>0.2</v>
      </c>
    </row>
    <row r="11" spans="1:9" x14ac:dyDescent="0.35">
      <c r="A11" t="s">
        <v>14</v>
      </c>
      <c r="B11" t="str">
        <f>TEXT(Table_sales_dashboard_data[total_sales], "yyyy-mm")</f>
        <v>1992-12</v>
      </c>
      <c r="C11" t="s">
        <v>17</v>
      </c>
      <c r="D11" t="s">
        <v>20</v>
      </c>
      <c r="E11" t="s">
        <v>11</v>
      </c>
      <c r="F11">
        <v>33944.387999999999</v>
      </c>
      <c r="G11">
        <v>3828.2964000000002</v>
      </c>
      <c r="H11">
        <v>575</v>
      </c>
      <c r="I11">
        <v>3.3112582781456901E-2</v>
      </c>
    </row>
    <row r="12" spans="1:9" x14ac:dyDescent="0.35">
      <c r="A12" t="s">
        <v>14</v>
      </c>
      <c r="B12" t="str">
        <f>TEXT(Table_sales_dashboard_data[total_sales], "yyyy-mm")</f>
        <v>1991-10</v>
      </c>
      <c r="C12" t="s">
        <v>12</v>
      </c>
      <c r="D12" t="s">
        <v>21</v>
      </c>
      <c r="E12" t="s">
        <v>11</v>
      </c>
      <c r="F12">
        <v>33530.313999999998</v>
      </c>
      <c r="G12">
        <v>8964.1510999999991</v>
      </c>
      <c r="H12">
        <v>567</v>
      </c>
      <c r="I12">
        <v>0.04</v>
      </c>
    </row>
    <row r="13" spans="1:9" x14ac:dyDescent="0.35">
      <c r="A13" t="s">
        <v>8</v>
      </c>
      <c r="B13" t="str">
        <f>TEXT(Table_sales_dashboard_data[total_sales], "yyyy-mm")</f>
        <v>1986-07</v>
      </c>
      <c r="C13" t="s">
        <v>17</v>
      </c>
      <c r="D13" t="s">
        <v>18</v>
      </c>
      <c r="E13" t="s">
        <v>11</v>
      </c>
      <c r="F13">
        <v>31622.61</v>
      </c>
      <c r="G13">
        <v>6740.6697000000004</v>
      </c>
      <c r="H13">
        <v>858</v>
      </c>
      <c r="I13">
        <v>0.34957983193277298</v>
      </c>
    </row>
    <row r="14" spans="1:9" x14ac:dyDescent="0.35">
      <c r="A14" t="s">
        <v>8</v>
      </c>
      <c r="B14" t="str">
        <f>TEXT(Table_sales_dashboard_data[total_sales], "yyyy-mm")</f>
        <v>1984-10</v>
      </c>
      <c r="C14" t="s">
        <v>17</v>
      </c>
      <c r="D14" t="s">
        <v>20</v>
      </c>
      <c r="E14" t="s">
        <v>19</v>
      </c>
      <c r="F14">
        <v>30968.37</v>
      </c>
      <c r="G14">
        <v>3836.4564999999998</v>
      </c>
      <c r="H14">
        <v>356</v>
      </c>
      <c r="I14">
        <v>6.8888888888888805E-2</v>
      </c>
    </row>
    <row r="15" spans="1:9" x14ac:dyDescent="0.35">
      <c r="A15" t="s">
        <v>22</v>
      </c>
      <c r="B15" t="str">
        <f>TEXT(Table_sales_dashboard_data[total_sales], "yyyy-mm")</f>
        <v>1984-06</v>
      </c>
      <c r="C15" t="s">
        <v>12</v>
      </c>
      <c r="D15" t="s">
        <v>13</v>
      </c>
      <c r="E15" t="s">
        <v>11</v>
      </c>
      <c r="F15">
        <v>30846.204000000002</v>
      </c>
      <c r="G15">
        <v>5623.9117999999999</v>
      </c>
      <c r="H15">
        <v>269</v>
      </c>
      <c r="I15">
        <v>9.7058823529411697E-2</v>
      </c>
    </row>
    <row r="16" spans="1:9" x14ac:dyDescent="0.35">
      <c r="A16" t="s">
        <v>8</v>
      </c>
      <c r="B16" t="str">
        <f>TEXT(Table_sales_dashboard_data[total_sales], "yyyy-mm")</f>
        <v>1983-12</v>
      </c>
      <c r="C16" t="s">
        <v>12</v>
      </c>
      <c r="D16" t="s">
        <v>23</v>
      </c>
      <c r="E16" t="s">
        <v>11</v>
      </c>
      <c r="F16">
        <v>30668.429</v>
      </c>
      <c r="G16">
        <v>-1296.085</v>
      </c>
      <c r="H16">
        <v>77</v>
      </c>
      <c r="I16">
        <v>0.33157894736842097</v>
      </c>
    </row>
    <row r="17" spans="1:9" x14ac:dyDescent="0.35">
      <c r="A17" t="s">
        <v>14</v>
      </c>
      <c r="B17" t="str">
        <f>TEXT(Table_sales_dashboard_data[total_sales], "yyyy-mm")</f>
        <v>1983-05</v>
      </c>
      <c r="C17" t="s">
        <v>12</v>
      </c>
      <c r="D17" t="s">
        <v>24</v>
      </c>
      <c r="E17" t="s">
        <v>11</v>
      </c>
      <c r="F17">
        <v>30459.612000000001</v>
      </c>
      <c r="G17">
        <v>12158.871300000001</v>
      </c>
      <c r="H17">
        <v>46</v>
      </c>
      <c r="I17">
        <v>0.146666666666666</v>
      </c>
    </row>
    <row r="18" spans="1:9" x14ac:dyDescent="0.35">
      <c r="A18" t="s">
        <v>8</v>
      </c>
      <c r="B18" t="str">
        <f>TEXT(Table_sales_dashboard_data[total_sales], "yyyy-mm")</f>
        <v>1983-03</v>
      </c>
      <c r="C18" t="s">
        <v>12</v>
      </c>
      <c r="D18" t="s">
        <v>24</v>
      </c>
      <c r="E18" t="s">
        <v>11</v>
      </c>
      <c r="F18">
        <v>30399.705999999998</v>
      </c>
      <c r="G18">
        <v>8657.9325000000008</v>
      </c>
      <c r="H18">
        <v>43</v>
      </c>
      <c r="I18">
        <v>0.3</v>
      </c>
    </row>
    <row r="19" spans="1:9" x14ac:dyDescent="0.35">
      <c r="A19" t="s">
        <v>8</v>
      </c>
      <c r="B19" t="str">
        <f>TEXT(Table_sales_dashboard_data[total_sales], "yyyy-mm")</f>
        <v>1981-10</v>
      </c>
      <c r="C19" t="s">
        <v>12</v>
      </c>
      <c r="D19" t="s">
        <v>13</v>
      </c>
      <c r="E19" t="s">
        <v>19</v>
      </c>
      <c r="F19">
        <v>29865.617999999999</v>
      </c>
      <c r="G19">
        <v>3129.6183000000001</v>
      </c>
      <c r="H19">
        <v>304</v>
      </c>
      <c r="I19">
        <v>0.15172413793103401</v>
      </c>
    </row>
    <row r="20" spans="1:9" x14ac:dyDescent="0.35">
      <c r="A20" t="s">
        <v>15</v>
      </c>
      <c r="B20" t="str">
        <f>TEXT(Table_sales_dashboard_data[total_sales], "yyyy-mm")</f>
        <v>1981-04</v>
      </c>
      <c r="C20" t="s">
        <v>12</v>
      </c>
      <c r="D20" t="s">
        <v>24</v>
      </c>
      <c r="E20" t="s">
        <v>19</v>
      </c>
      <c r="F20">
        <v>29679.741999999998</v>
      </c>
      <c r="G20">
        <v>12789.9043</v>
      </c>
      <c r="H20">
        <v>29</v>
      </c>
      <c r="I20">
        <v>0.125</v>
      </c>
    </row>
    <row r="21" spans="1:9" x14ac:dyDescent="0.35">
      <c r="A21" t="s">
        <v>14</v>
      </c>
      <c r="B21" t="str">
        <f>TEXT(Table_sales_dashboard_data[total_sales], "yyyy-mm")</f>
        <v>1977-04</v>
      </c>
      <c r="C21" t="s">
        <v>17</v>
      </c>
      <c r="D21" t="s">
        <v>18</v>
      </c>
      <c r="E21" t="s">
        <v>11</v>
      </c>
      <c r="F21">
        <v>28227.119999999999</v>
      </c>
      <c r="G21">
        <v>7838.6779999999999</v>
      </c>
      <c r="H21">
        <v>959</v>
      </c>
      <c r="I21">
        <v>0.28403361344537797</v>
      </c>
    </row>
    <row r="22" spans="1:9" x14ac:dyDescent="0.35">
      <c r="A22" t="s">
        <v>14</v>
      </c>
      <c r="B22" t="str">
        <f>TEXT(Table_sales_dashboard_data[total_sales], "yyyy-mm")</f>
        <v>1977-01</v>
      </c>
      <c r="C22" t="s">
        <v>9</v>
      </c>
      <c r="D22" t="s">
        <v>16</v>
      </c>
      <c r="E22" t="s">
        <v>19</v>
      </c>
      <c r="F22">
        <v>28137.891</v>
      </c>
      <c r="G22">
        <v>1074.2003999999999</v>
      </c>
      <c r="H22">
        <v>165</v>
      </c>
      <c r="I22">
        <v>0.19285714285714201</v>
      </c>
    </row>
    <row r="23" spans="1:9" x14ac:dyDescent="0.35">
      <c r="A23" t="s">
        <v>15</v>
      </c>
      <c r="B23" t="str">
        <f>TEXT(Table_sales_dashboard_data[total_sales], "yyyy-mm")</f>
        <v>1976-08</v>
      </c>
      <c r="C23" t="s">
        <v>9</v>
      </c>
      <c r="D23" t="s">
        <v>10</v>
      </c>
      <c r="E23" t="s">
        <v>19</v>
      </c>
      <c r="F23">
        <v>27989.552</v>
      </c>
      <c r="G23">
        <v>3206.8836999999999</v>
      </c>
      <c r="H23">
        <v>178</v>
      </c>
      <c r="I23">
        <v>0.16666666666666599</v>
      </c>
    </row>
    <row r="24" spans="1:9" x14ac:dyDescent="0.35">
      <c r="A24" t="s">
        <v>8</v>
      </c>
      <c r="B24" t="str">
        <f>TEXT(Table_sales_dashboard_data[total_sales], "yyyy-mm")</f>
        <v>1974-10</v>
      </c>
      <c r="C24" t="s">
        <v>9</v>
      </c>
      <c r="D24" t="s">
        <v>25</v>
      </c>
      <c r="E24" t="s">
        <v>11</v>
      </c>
      <c r="F24">
        <v>27307.133999999998</v>
      </c>
      <c r="G24">
        <v>-2192.0672</v>
      </c>
      <c r="H24">
        <v>140</v>
      </c>
      <c r="I24">
        <v>0.233333333333333</v>
      </c>
    </row>
    <row r="25" spans="1:9" x14ac:dyDescent="0.35">
      <c r="A25" t="s">
        <v>22</v>
      </c>
      <c r="B25" t="str">
        <f>TEXT(Table_sales_dashboard_data[total_sales], "yyyy-mm")</f>
        <v>1973-05</v>
      </c>
      <c r="C25" t="s">
        <v>9</v>
      </c>
      <c r="D25" t="s">
        <v>10</v>
      </c>
      <c r="E25" t="s">
        <v>11</v>
      </c>
      <c r="F25">
        <v>26804.225999999999</v>
      </c>
      <c r="G25">
        <v>4017.0347000000002</v>
      </c>
      <c r="H25">
        <v>195</v>
      </c>
      <c r="I25">
        <v>8.6792452830188604E-2</v>
      </c>
    </row>
    <row r="26" spans="1:9" x14ac:dyDescent="0.35">
      <c r="A26" t="s">
        <v>8</v>
      </c>
      <c r="B26" t="str">
        <f>TEXT(Table_sales_dashboard_data[total_sales], "yyyy-mm")</f>
        <v>1968-06</v>
      </c>
      <c r="C26" t="s">
        <v>17</v>
      </c>
      <c r="D26" t="s">
        <v>20</v>
      </c>
      <c r="E26" t="s">
        <v>11</v>
      </c>
      <c r="F26">
        <v>24994.457999999999</v>
      </c>
      <c r="G26">
        <v>1973.9241999999999</v>
      </c>
      <c r="H26">
        <v>398</v>
      </c>
      <c r="I26">
        <v>7.7192982456140299E-2</v>
      </c>
    </row>
    <row r="27" spans="1:9" x14ac:dyDescent="0.35">
      <c r="A27" t="s">
        <v>14</v>
      </c>
      <c r="B27" t="str">
        <f>TEXT(Table_sales_dashboard_data[total_sales], "yyyy-mm")</f>
        <v>1967-12</v>
      </c>
      <c r="C27" t="s">
        <v>12</v>
      </c>
      <c r="D27" t="s">
        <v>13</v>
      </c>
      <c r="E27" t="s">
        <v>19</v>
      </c>
      <c r="F27">
        <v>24832.768</v>
      </c>
      <c r="G27">
        <v>2565.1095999999998</v>
      </c>
      <c r="H27">
        <v>325</v>
      </c>
      <c r="I27">
        <v>0.2</v>
      </c>
    </row>
    <row r="28" spans="1:9" x14ac:dyDescent="0.35">
      <c r="A28" t="s">
        <v>14</v>
      </c>
      <c r="B28" t="str">
        <f>TEXT(Table_sales_dashboard_data[total_sales], "yyyy-mm")</f>
        <v>1967-11</v>
      </c>
      <c r="C28" t="s">
        <v>17</v>
      </c>
      <c r="D28" t="s">
        <v>20</v>
      </c>
      <c r="E28" t="s">
        <v>19</v>
      </c>
      <c r="F28">
        <v>24803.766</v>
      </c>
      <c r="G28">
        <v>3491.4868999999999</v>
      </c>
      <c r="H28">
        <v>299</v>
      </c>
      <c r="I28">
        <v>2.89473684210526E-2</v>
      </c>
    </row>
    <row r="29" spans="1:9" x14ac:dyDescent="0.35">
      <c r="A29" t="s">
        <v>15</v>
      </c>
      <c r="B29" t="str">
        <f>TEXT(Table_sales_dashboard_data[total_sales], "yyyy-mm")</f>
        <v>1967-07</v>
      </c>
      <c r="C29" t="s">
        <v>17</v>
      </c>
      <c r="D29" t="s">
        <v>20</v>
      </c>
      <c r="E29" t="s">
        <v>11</v>
      </c>
      <c r="F29">
        <v>24671.81</v>
      </c>
      <c r="G29">
        <v>413.31009999999998</v>
      </c>
      <c r="H29">
        <v>394</v>
      </c>
      <c r="I29">
        <v>0.126050420168067</v>
      </c>
    </row>
    <row r="30" spans="1:9" x14ac:dyDescent="0.35">
      <c r="A30" t="s">
        <v>22</v>
      </c>
      <c r="B30" t="str">
        <f>TEXT(Table_sales_dashboard_data[total_sales], "yyyy-mm")</f>
        <v>1966-10</v>
      </c>
      <c r="C30" t="s">
        <v>9</v>
      </c>
      <c r="D30" t="s">
        <v>16</v>
      </c>
      <c r="E30" t="s">
        <v>11</v>
      </c>
      <c r="F30">
        <v>24408.842000000001</v>
      </c>
      <c r="G30">
        <v>-2577.4996000000001</v>
      </c>
      <c r="H30">
        <v>119</v>
      </c>
      <c r="I30">
        <v>0.203703703703703</v>
      </c>
    </row>
    <row r="31" spans="1:9" x14ac:dyDescent="0.35">
      <c r="A31" t="s">
        <v>8</v>
      </c>
      <c r="B31" t="str">
        <f>TEXT(Table_sales_dashboard_data[total_sales], "yyyy-mm")</f>
        <v>1965-05</v>
      </c>
      <c r="C31" t="s">
        <v>12</v>
      </c>
      <c r="D31" t="s">
        <v>23</v>
      </c>
      <c r="E31" t="s">
        <v>19</v>
      </c>
      <c r="F31">
        <v>23892.036</v>
      </c>
      <c r="G31">
        <v>2624.6023</v>
      </c>
      <c r="H31">
        <v>63</v>
      </c>
      <c r="I31">
        <v>0.35</v>
      </c>
    </row>
    <row r="32" spans="1:9" x14ac:dyDescent="0.35">
      <c r="A32" t="s">
        <v>22</v>
      </c>
      <c r="B32" t="str">
        <f>TEXT(Table_sales_dashboard_data[total_sales], "yyyy-mm")</f>
        <v>1964-06</v>
      </c>
      <c r="C32" t="s">
        <v>12</v>
      </c>
      <c r="D32" t="s">
        <v>23</v>
      </c>
      <c r="E32" t="s">
        <v>26</v>
      </c>
      <c r="F32">
        <v>23551.255000000001</v>
      </c>
      <c r="G32">
        <v>-1829.3339000000001</v>
      </c>
      <c r="H32">
        <v>11</v>
      </c>
      <c r="I32">
        <v>0.5</v>
      </c>
    </row>
    <row r="33" spans="1:9" x14ac:dyDescent="0.35">
      <c r="A33" t="s">
        <v>8</v>
      </c>
      <c r="B33" t="str">
        <f>TEXT(Table_sales_dashboard_data[total_sales], "yyyy-mm")</f>
        <v>1964-05</v>
      </c>
      <c r="C33" t="s">
        <v>9</v>
      </c>
      <c r="D33" t="s">
        <v>10</v>
      </c>
      <c r="E33" t="s">
        <v>19</v>
      </c>
      <c r="F33">
        <v>23505.23</v>
      </c>
      <c r="G33">
        <v>2720.5877999999998</v>
      </c>
      <c r="H33">
        <v>189</v>
      </c>
      <c r="I33">
        <v>0.139130434782608</v>
      </c>
    </row>
    <row r="34" spans="1:9" x14ac:dyDescent="0.35">
      <c r="A34" t="s">
        <v>14</v>
      </c>
      <c r="B34" t="str">
        <f>TEXT(Table_sales_dashboard_data[total_sales], "yyyy-mm")</f>
        <v>1964-01</v>
      </c>
      <c r="C34" t="s">
        <v>12</v>
      </c>
      <c r="D34" t="s">
        <v>13</v>
      </c>
      <c r="E34" t="s">
        <v>26</v>
      </c>
      <c r="F34">
        <v>23385.848000000002</v>
      </c>
      <c r="G34">
        <v>2076.7033000000001</v>
      </c>
      <c r="H34">
        <v>197</v>
      </c>
      <c r="I34">
        <v>0.2</v>
      </c>
    </row>
    <row r="35" spans="1:9" x14ac:dyDescent="0.35">
      <c r="A35" t="s">
        <v>8</v>
      </c>
      <c r="B35" t="str">
        <f>TEXT(Table_sales_dashboard_data[total_sales], "yyyy-mm")</f>
        <v>1962-08</v>
      </c>
      <c r="C35" t="s">
        <v>12</v>
      </c>
      <c r="D35" t="s">
        <v>21</v>
      </c>
      <c r="E35" t="s">
        <v>11</v>
      </c>
      <c r="F35">
        <v>22861.056</v>
      </c>
      <c r="G35">
        <v>5240.0783000000001</v>
      </c>
      <c r="H35">
        <v>354</v>
      </c>
      <c r="I35">
        <v>9.34579439252336E-2</v>
      </c>
    </row>
    <row r="36" spans="1:9" x14ac:dyDescent="0.35">
      <c r="A36" t="s">
        <v>14</v>
      </c>
      <c r="B36" t="str">
        <f>TEXT(Table_sales_dashboard_data[total_sales], "yyyy-mm")</f>
        <v>1960-04</v>
      </c>
      <c r="C36" t="s">
        <v>9</v>
      </c>
      <c r="D36" t="s">
        <v>10</v>
      </c>
      <c r="E36" t="s">
        <v>26</v>
      </c>
      <c r="F36">
        <v>22022.096000000001</v>
      </c>
      <c r="G36">
        <v>1414.3531</v>
      </c>
      <c r="H36">
        <v>139</v>
      </c>
      <c r="I36">
        <v>0.2</v>
      </c>
    </row>
    <row r="37" spans="1:9" x14ac:dyDescent="0.35">
      <c r="A37" t="s">
        <v>15</v>
      </c>
      <c r="B37" t="str">
        <f>TEXT(Table_sales_dashboard_data[total_sales], "yyyy-mm")</f>
        <v>1957-01</v>
      </c>
      <c r="C37" t="s">
        <v>9</v>
      </c>
      <c r="D37" t="s">
        <v>16</v>
      </c>
      <c r="E37" t="s">
        <v>11</v>
      </c>
      <c r="F37">
        <v>20835</v>
      </c>
      <c r="G37">
        <v>-3964.1570999999999</v>
      </c>
      <c r="H37">
        <v>151</v>
      </c>
      <c r="I37">
        <v>0.31190476190476102</v>
      </c>
    </row>
    <row r="38" spans="1:9" x14ac:dyDescent="0.35">
      <c r="A38" t="s">
        <v>14</v>
      </c>
      <c r="B38" t="str">
        <f>TEXT(Table_sales_dashboard_data[total_sales], "yyyy-mm")</f>
        <v>1954-12</v>
      </c>
      <c r="C38" t="s">
        <v>12</v>
      </c>
      <c r="D38" t="s">
        <v>21</v>
      </c>
      <c r="E38" t="s">
        <v>19</v>
      </c>
      <c r="F38">
        <v>20071.871999999999</v>
      </c>
      <c r="G38">
        <v>5225.4780000000001</v>
      </c>
      <c r="H38">
        <v>335</v>
      </c>
      <c r="I38">
        <v>3.02325581395348E-2</v>
      </c>
    </row>
    <row r="39" spans="1:9" x14ac:dyDescent="0.35">
      <c r="A39" t="s">
        <v>14</v>
      </c>
      <c r="B39" t="str">
        <f>TEXT(Table_sales_dashboard_data[total_sales], "yyyy-mm")</f>
        <v>1953-10</v>
      </c>
      <c r="C39" t="s">
        <v>9</v>
      </c>
      <c r="D39" t="s">
        <v>25</v>
      </c>
      <c r="E39" t="s">
        <v>11</v>
      </c>
      <c r="F39">
        <v>19648.179</v>
      </c>
      <c r="G39">
        <v>-1966.4570000000001</v>
      </c>
      <c r="H39">
        <v>176</v>
      </c>
      <c r="I39">
        <v>0.245918367346938</v>
      </c>
    </row>
    <row r="40" spans="1:9" x14ac:dyDescent="0.35">
      <c r="A40" t="s">
        <v>8</v>
      </c>
      <c r="B40" t="str">
        <f>TEXT(Table_sales_dashboard_data[total_sales], "yyyy-mm")</f>
        <v>1953-01</v>
      </c>
      <c r="C40" t="s">
        <v>17</v>
      </c>
      <c r="D40" t="s">
        <v>27</v>
      </c>
      <c r="E40" t="s">
        <v>11</v>
      </c>
      <c r="F40">
        <v>19389.756000000001</v>
      </c>
      <c r="G40">
        <v>5008.7578999999996</v>
      </c>
      <c r="H40">
        <v>245</v>
      </c>
      <c r="I40">
        <v>7.5757575757575704E-2</v>
      </c>
    </row>
    <row r="41" spans="1:9" x14ac:dyDescent="0.35">
      <c r="A41" t="s">
        <v>22</v>
      </c>
      <c r="B41" t="str">
        <f>TEXT(Table_sales_dashboard_data[total_sales], "yyyy-mm")</f>
        <v>1952-10</v>
      </c>
      <c r="C41" t="s">
        <v>12</v>
      </c>
      <c r="D41" t="s">
        <v>13</v>
      </c>
      <c r="E41" t="s">
        <v>19</v>
      </c>
      <c r="F41">
        <v>19274.232</v>
      </c>
      <c r="G41">
        <v>3680.212</v>
      </c>
      <c r="H41">
        <v>164</v>
      </c>
      <c r="I41">
        <v>0.11363636363636299</v>
      </c>
    </row>
    <row r="42" spans="1:9" x14ac:dyDescent="0.35">
      <c r="A42" t="s">
        <v>8</v>
      </c>
      <c r="B42" t="str">
        <f>TEXT(Table_sales_dashboard_data[total_sales], "yyyy-mm")</f>
        <v>1952-08</v>
      </c>
      <c r="C42" t="s">
        <v>12</v>
      </c>
      <c r="D42" t="s">
        <v>13</v>
      </c>
      <c r="E42" t="s">
        <v>26</v>
      </c>
      <c r="F42">
        <v>19237.326000000001</v>
      </c>
      <c r="G42">
        <v>1856.8141000000001</v>
      </c>
      <c r="H42">
        <v>164</v>
      </c>
      <c r="I42">
        <v>0.18666666666666601</v>
      </c>
    </row>
    <row r="43" spans="1:9" x14ac:dyDescent="0.35">
      <c r="A43" t="s">
        <v>15</v>
      </c>
      <c r="B43" t="str">
        <f>TEXT(Table_sales_dashboard_data[total_sales], "yyyy-mm")</f>
        <v>1952-03</v>
      </c>
      <c r="C43" t="s">
        <v>12</v>
      </c>
      <c r="D43" t="s">
        <v>21</v>
      </c>
      <c r="E43" t="s">
        <v>11</v>
      </c>
      <c r="F43">
        <v>19062.304</v>
      </c>
      <c r="G43">
        <v>3743.3859000000002</v>
      </c>
      <c r="H43">
        <v>392</v>
      </c>
      <c r="I43">
        <v>0.13069306930693</v>
      </c>
    </row>
    <row r="44" spans="1:9" x14ac:dyDescent="0.35">
      <c r="A44" t="s">
        <v>14</v>
      </c>
      <c r="B44" t="str">
        <f>TEXT(Table_sales_dashboard_data[total_sales], "yyyy-mm")</f>
        <v>1951-06</v>
      </c>
      <c r="C44" t="s">
        <v>17</v>
      </c>
      <c r="D44" t="s">
        <v>18</v>
      </c>
      <c r="E44" t="s">
        <v>19</v>
      </c>
      <c r="F44">
        <v>18804.759999999998</v>
      </c>
      <c r="G44">
        <v>5468.5415000000003</v>
      </c>
      <c r="H44">
        <v>565</v>
      </c>
      <c r="I44">
        <v>0.26907894736842097</v>
      </c>
    </row>
    <row r="45" spans="1:9" x14ac:dyDescent="0.35">
      <c r="A45" t="s">
        <v>22</v>
      </c>
      <c r="B45" t="str">
        <f>TEXT(Table_sales_dashboard_data[total_sales], "yyyy-mm")</f>
        <v>1950-12</v>
      </c>
      <c r="C45" t="s">
        <v>17</v>
      </c>
      <c r="D45" t="s">
        <v>18</v>
      </c>
      <c r="E45" t="s">
        <v>11</v>
      </c>
      <c r="F45">
        <v>18617.703000000001</v>
      </c>
      <c r="G45">
        <v>1583.9285</v>
      </c>
      <c r="H45">
        <v>429</v>
      </c>
      <c r="I45">
        <v>0.37837837837837801</v>
      </c>
    </row>
    <row r="46" spans="1:9" x14ac:dyDescent="0.35">
      <c r="A46" t="s">
        <v>8</v>
      </c>
      <c r="B46" t="str">
        <f>TEXT(Table_sales_dashboard_data[total_sales], "yyyy-mm")</f>
        <v>1950-12</v>
      </c>
      <c r="C46" t="s">
        <v>12</v>
      </c>
      <c r="D46" t="s">
        <v>24</v>
      </c>
      <c r="E46" t="s">
        <v>26</v>
      </c>
      <c r="F46">
        <v>18599.842000000001</v>
      </c>
      <c r="G46">
        <v>7229.9327999999996</v>
      </c>
      <c r="H46">
        <v>17</v>
      </c>
      <c r="I46">
        <v>0.1</v>
      </c>
    </row>
    <row r="47" spans="1:9" x14ac:dyDescent="0.35">
      <c r="A47" t="s">
        <v>14</v>
      </c>
      <c r="B47" t="str">
        <f>TEXT(Table_sales_dashboard_data[total_sales], "yyyy-mm")</f>
        <v>1950-09</v>
      </c>
      <c r="C47" t="s">
        <v>12</v>
      </c>
      <c r="D47" t="s">
        <v>23</v>
      </c>
      <c r="E47" t="s">
        <v>11</v>
      </c>
      <c r="F47">
        <v>18536.083999999999</v>
      </c>
      <c r="G47">
        <v>2193.616</v>
      </c>
      <c r="H47">
        <v>76</v>
      </c>
      <c r="I47">
        <v>0.25263157894736799</v>
      </c>
    </row>
    <row r="48" spans="1:9" x14ac:dyDescent="0.35">
      <c r="A48" t="s">
        <v>22</v>
      </c>
      <c r="B48" t="str">
        <f>TEXT(Table_sales_dashboard_data[total_sales], "yyyy-mm")</f>
        <v>1950-03</v>
      </c>
      <c r="C48" t="s">
        <v>12</v>
      </c>
      <c r="D48" t="s">
        <v>23</v>
      </c>
      <c r="E48" t="s">
        <v>11</v>
      </c>
      <c r="F48">
        <v>18338.55</v>
      </c>
      <c r="G48">
        <v>2910.5587999999998</v>
      </c>
      <c r="H48">
        <v>36</v>
      </c>
      <c r="I48">
        <v>0.27272727272727199</v>
      </c>
    </row>
    <row r="49" spans="1:9" x14ac:dyDescent="0.35">
      <c r="A49" t="s">
        <v>15</v>
      </c>
      <c r="B49" t="str">
        <f>TEXT(Table_sales_dashboard_data[total_sales], "yyyy-mm")</f>
        <v>1949-08</v>
      </c>
      <c r="C49" t="s">
        <v>12</v>
      </c>
      <c r="D49" t="s">
        <v>13</v>
      </c>
      <c r="E49" t="s">
        <v>26</v>
      </c>
      <c r="F49">
        <v>18113.7</v>
      </c>
      <c r="G49">
        <v>3515.7274000000002</v>
      </c>
      <c r="H49">
        <v>147</v>
      </c>
      <c r="I49">
        <v>0.1</v>
      </c>
    </row>
    <row r="50" spans="1:9" x14ac:dyDescent="0.35">
      <c r="A50" t="s">
        <v>8</v>
      </c>
      <c r="B50" t="str">
        <f>TEXT(Table_sales_dashboard_data[total_sales], "yyyy-mm")</f>
        <v>1948-01</v>
      </c>
      <c r="C50" t="s">
        <v>9</v>
      </c>
      <c r="D50" t="s">
        <v>16</v>
      </c>
      <c r="E50" t="s">
        <v>19</v>
      </c>
      <c r="F50">
        <v>17551.558000000001</v>
      </c>
      <c r="G50">
        <v>-5299.6557000000003</v>
      </c>
      <c r="H50">
        <v>109</v>
      </c>
      <c r="I50">
        <v>0.38124999999999998</v>
      </c>
    </row>
    <row r="51" spans="1:9" x14ac:dyDescent="0.35">
      <c r="A51" t="s">
        <v>15</v>
      </c>
      <c r="B51" t="str">
        <f>TEXT(Table_sales_dashboard_data[total_sales], "yyyy-mm")</f>
        <v>1947-01</v>
      </c>
      <c r="C51" t="s">
        <v>12</v>
      </c>
      <c r="D51" t="s">
        <v>13</v>
      </c>
      <c r="E51" t="s">
        <v>19</v>
      </c>
      <c r="F51">
        <v>17180.795999999998</v>
      </c>
      <c r="G51">
        <v>2391.2797</v>
      </c>
      <c r="H51">
        <v>210</v>
      </c>
      <c r="I51">
        <v>0.135849056603773</v>
      </c>
    </row>
    <row r="52" spans="1:9" x14ac:dyDescent="0.35">
      <c r="A52" t="s">
        <v>22</v>
      </c>
      <c r="B52" t="str">
        <f>TEXT(Table_sales_dashboard_data[total_sales], "yyyy-mm")</f>
        <v>1946-03</v>
      </c>
      <c r="C52" t="s">
        <v>17</v>
      </c>
      <c r="D52" t="s">
        <v>20</v>
      </c>
      <c r="E52" t="s">
        <v>11</v>
      </c>
      <c r="F52">
        <v>16881.745999999999</v>
      </c>
      <c r="G52">
        <v>888.66970000000003</v>
      </c>
      <c r="H52">
        <v>252</v>
      </c>
      <c r="I52">
        <v>8.7878787878787806E-2</v>
      </c>
    </row>
    <row r="53" spans="1:9" x14ac:dyDescent="0.35">
      <c r="A53" t="s">
        <v>14</v>
      </c>
      <c r="B53" t="str">
        <f>TEXT(Table_sales_dashboard_data[total_sales], "yyyy-mm")</f>
        <v>1944-01</v>
      </c>
      <c r="C53" t="s">
        <v>9</v>
      </c>
      <c r="D53" t="s">
        <v>28</v>
      </c>
      <c r="E53" t="s">
        <v>11</v>
      </c>
      <c r="F53">
        <v>16072.414000000001</v>
      </c>
      <c r="G53">
        <v>4395.1526000000003</v>
      </c>
      <c r="H53">
        <v>658</v>
      </c>
      <c r="I53">
        <v>2.8571428571428501E-2</v>
      </c>
    </row>
    <row r="54" spans="1:9" x14ac:dyDescent="0.35">
      <c r="A54" t="s">
        <v>14</v>
      </c>
      <c r="B54" t="str">
        <f>TEXT(Table_sales_dashboard_data[total_sales], "yyyy-mm")</f>
        <v>1943-10</v>
      </c>
      <c r="C54" t="s">
        <v>9</v>
      </c>
      <c r="D54" t="s">
        <v>16</v>
      </c>
      <c r="E54" t="s">
        <v>26</v>
      </c>
      <c r="F54">
        <v>16009.184999999999</v>
      </c>
      <c r="G54">
        <v>-113.56480000000001</v>
      </c>
      <c r="H54">
        <v>90</v>
      </c>
      <c r="I54">
        <v>0.2</v>
      </c>
    </row>
    <row r="55" spans="1:9" x14ac:dyDescent="0.35">
      <c r="A55" t="s">
        <v>8</v>
      </c>
      <c r="B55" t="str">
        <f>TEXT(Table_sales_dashboard_data[total_sales], "yyyy-mm")</f>
        <v>1942-11</v>
      </c>
      <c r="C55" t="s">
        <v>17</v>
      </c>
      <c r="D55" t="s">
        <v>20</v>
      </c>
      <c r="E55" t="s">
        <v>26</v>
      </c>
      <c r="F55">
        <v>15649.755999999999</v>
      </c>
      <c r="G55">
        <v>2578.9904999999999</v>
      </c>
      <c r="H55">
        <v>153</v>
      </c>
      <c r="I55">
        <v>5.78947368421052E-2</v>
      </c>
    </row>
    <row r="56" spans="1:9" x14ac:dyDescent="0.35">
      <c r="A56" t="s">
        <v>14</v>
      </c>
      <c r="B56" t="str">
        <f>TEXT(Table_sales_dashboard_data[total_sales], "yyyy-mm")</f>
        <v>1941-12</v>
      </c>
      <c r="C56" t="s">
        <v>17</v>
      </c>
      <c r="D56" t="s">
        <v>27</v>
      </c>
      <c r="E56" t="s">
        <v>11</v>
      </c>
      <c r="F56">
        <v>15323.75</v>
      </c>
      <c r="G56">
        <v>4293.5136000000002</v>
      </c>
      <c r="H56">
        <v>238</v>
      </c>
      <c r="I56">
        <v>2.12121212121212E-2</v>
      </c>
    </row>
    <row r="57" spans="1:9" x14ac:dyDescent="0.35">
      <c r="A57" t="s">
        <v>15</v>
      </c>
      <c r="B57" t="str">
        <f>TEXT(Table_sales_dashboard_data[total_sales], "yyyy-mm")</f>
        <v>1939-03</v>
      </c>
      <c r="C57" t="s">
        <v>9</v>
      </c>
      <c r="D57" t="s">
        <v>10</v>
      </c>
      <c r="E57" t="s">
        <v>26</v>
      </c>
      <c r="F57">
        <v>14307.718999999999</v>
      </c>
      <c r="G57">
        <v>464.93709999999999</v>
      </c>
      <c r="H57">
        <v>130</v>
      </c>
      <c r="I57">
        <v>0.214285714285714</v>
      </c>
    </row>
    <row r="58" spans="1:9" x14ac:dyDescent="0.35">
      <c r="A58" t="s">
        <v>8</v>
      </c>
      <c r="B58" t="str">
        <f>TEXT(Table_sales_dashboard_data[total_sales], "yyyy-mm")</f>
        <v>1938-07</v>
      </c>
      <c r="C58" t="s">
        <v>9</v>
      </c>
      <c r="D58" t="s">
        <v>16</v>
      </c>
      <c r="E58" t="s">
        <v>11</v>
      </c>
      <c r="F58">
        <v>14082.467000000001</v>
      </c>
      <c r="G58">
        <v>-3708.3528000000001</v>
      </c>
      <c r="H58">
        <v>106</v>
      </c>
      <c r="I58">
        <v>0.36363636363636298</v>
      </c>
    </row>
    <row r="59" spans="1:9" x14ac:dyDescent="0.35">
      <c r="A59" t="s">
        <v>8</v>
      </c>
      <c r="B59" t="str">
        <f>TEXT(Table_sales_dashboard_data[total_sales], "yyyy-mm")</f>
        <v>1936-01</v>
      </c>
      <c r="C59" t="s">
        <v>9</v>
      </c>
      <c r="D59" t="s">
        <v>28</v>
      </c>
      <c r="E59" t="s">
        <v>11</v>
      </c>
      <c r="F59">
        <v>13177.067999999999</v>
      </c>
      <c r="G59">
        <v>3021.1370000000002</v>
      </c>
      <c r="H59">
        <v>481</v>
      </c>
      <c r="I59">
        <v>8.4671532846715303E-2</v>
      </c>
    </row>
    <row r="60" spans="1:9" x14ac:dyDescent="0.35">
      <c r="A60" t="s">
        <v>8</v>
      </c>
      <c r="B60" t="str">
        <f>TEXT(Table_sales_dashboard_data[total_sales], "yyyy-mm")</f>
        <v>1936-01</v>
      </c>
      <c r="C60" t="s">
        <v>9</v>
      </c>
      <c r="D60" t="s">
        <v>25</v>
      </c>
      <c r="E60" t="s">
        <v>19</v>
      </c>
      <c r="F60">
        <v>13168.932000000001</v>
      </c>
      <c r="G60">
        <v>964.96299999999997</v>
      </c>
      <c r="H60">
        <v>84</v>
      </c>
      <c r="I60">
        <v>0.214285714285714</v>
      </c>
    </row>
    <row r="61" spans="1:9" x14ac:dyDescent="0.35">
      <c r="A61" t="s">
        <v>8</v>
      </c>
      <c r="B61" t="str">
        <f>TEXT(Table_sales_dashboard_data[total_sales], "yyyy-mm")</f>
        <v>1935-11</v>
      </c>
      <c r="C61" t="s">
        <v>9</v>
      </c>
      <c r="D61" t="s">
        <v>10</v>
      </c>
      <c r="E61" t="s">
        <v>26</v>
      </c>
      <c r="F61">
        <v>13110.32</v>
      </c>
      <c r="G61">
        <v>1719.7876000000001</v>
      </c>
      <c r="H61">
        <v>100</v>
      </c>
      <c r="I61">
        <v>0.13214285714285701</v>
      </c>
    </row>
    <row r="62" spans="1:9" x14ac:dyDescent="0.35">
      <c r="A62" t="s">
        <v>15</v>
      </c>
      <c r="B62" t="str">
        <f>TEXT(Table_sales_dashboard_data[total_sales], "yyyy-mm")</f>
        <v>1935-06</v>
      </c>
      <c r="C62" t="s">
        <v>9</v>
      </c>
      <c r="D62" t="s">
        <v>25</v>
      </c>
      <c r="E62" t="s">
        <v>11</v>
      </c>
      <c r="F62">
        <v>12960.853999999999</v>
      </c>
      <c r="G62">
        <v>-1497.126</v>
      </c>
      <c r="H62">
        <v>95</v>
      </c>
      <c r="I62">
        <v>0.26083333333333297</v>
      </c>
    </row>
    <row r="63" spans="1:9" x14ac:dyDescent="0.35">
      <c r="A63" t="s">
        <v>14</v>
      </c>
      <c r="B63" t="str">
        <f>TEXT(Table_sales_dashboard_data[total_sales], "yyyy-mm")</f>
        <v>1934-09</v>
      </c>
      <c r="C63" t="s">
        <v>12</v>
      </c>
      <c r="D63" t="s">
        <v>23</v>
      </c>
      <c r="E63" t="s">
        <v>19</v>
      </c>
      <c r="F63">
        <v>12666.83</v>
      </c>
      <c r="G63">
        <v>960.03899999999999</v>
      </c>
      <c r="H63">
        <v>40</v>
      </c>
      <c r="I63">
        <v>0.32500000000000001</v>
      </c>
    </row>
    <row r="64" spans="1:9" x14ac:dyDescent="0.35">
      <c r="A64" t="s">
        <v>15</v>
      </c>
      <c r="B64" t="str">
        <f>TEXT(Table_sales_dashboard_data[total_sales], "yyyy-mm")</f>
        <v>1934-08</v>
      </c>
      <c r="C64" t="s">
        <v>17</v>
      </c>
      <c r="D64" t="s">
        <v>20</v>
      </c>
      <c r="E64" t="s">
        <v>19</v>
      </c>
      <c r="F64">
        <v>12656.603999999999</v>
      </c>
      <c r="G64">
        <v>1084.5101999999999</v>
      </c>
      <c r="H64">
        <v>195</v>
      </c>
      <c r="I64">
        <v>0.133333333333333</v>
      </c>
    </row>
    <row r="65" spans="1:9" x14ac:dyDescent="0.35">
      <c r="A65" t="s">
        <v>22</v>
      </c>
      <c r="B65" t="str">
        <f>TEXT(Table_sales_dashboard_data[total_sales], "yyyy-mm")</f>
        <v>1934-07</v>
      </c>
      <c r="C65" t="s">
        <v>9</v>
      </c>
      <c r="D65" t="s">
        <v>16</v>
      </c>
      <c r="E65" t="s">
        <v>19</v>
      </c>
      <c r="F65">
        <v>12619.675499999999</v>
      </c>
      <c r="G65">
        <v>-1388.2239</v>
      </c>
      <c r="H65">
        <v>79</v>
      </c>
      <c r="I65">
        <v>0.25937500000000002</v>
      </c>
    </row>
    <row r="66" spans="1:9" x14ac:dyDescent="0.35">
      <c r="A66" t="s">
        <v>15</v>
      </c>
      <c r="B66" t="str">
        <f>TEXT(Table_sales_dashboard_data[total_sales], "yyyy-mm")</f>
        <v>1934-05</v>
      </c>
      <c r="C66" t="s">
        <v>9</v>
      </c>
      <c r="D66" t="s">
        <v>16</v>
      </c>
      <c r="E66" t="s">
        <v>19</v>
      </c>
      <c r="F66">
        <v>12562.593000000001</v>
      </c>
      <c r="G66">
        <v>707.18060000000003</v>
      </c>
      <c r="H66">
        <v>66</v>
      </c>
      <c r="I66">
        <v>0.19375000000000001</v>
      </c>
    </row>
    <row r="67" spans="1:9" x14ac:dyDescent="0.35">
      <c r="A67" t="s">
        <v>14</v>
      </c>
      <c r="B67" t="str">
        <f>TEXT(Table_sales_dashboard_data[total_sales], "yyyy-mm")</f>
        <v>1934-03</v>
      </c>
      <c r="C67" t="s">
        <v>17</v>
      </c>
      <c r="D67" t="s">
        <v>29</v>
      </c>
      <c r="E67" t="s">
        <v>11</v>
      </c>
      <c r="F67">
        <v>12495.808000000001</v>
      </c>
      <c r="G67">
        <v>5617.3388000000004</v>
      </c>
      <c r="H67">
        <v>894</v>
      </c>
      <c r="I67">
        <v>3.1896551724137898E-2</v>
      </c>
    </row>
    <row r="68" spans="1:9" x14ac:dyDescent="0.35">
      <c r="A68" t="s">
        <v>8</v>
      </c>
      <c r="B68" t="str">
        <f>TEXT(Table_sales_dashboard_data[total_sales], "yyyy-mm")</f>
        <v>1932-12</v>
      </c>
      <c r="C68" t="s">
        <v>17</v>
      </c>
      <c r="D68" t="s">
        <v>18</v>
      </c>
      <c r="E68" t="s">
        <v>19</v>
      </c>
      <c r="F68">
        <v>12048.380999999999</v>
      </c>
      <c r="G68">
        <v>2833.0034000000001</v>
      </c>
      <c r="H68">
        <v>491</v>
      </c>
      <c r="I68">
        <v>0.36076923076923001</v>
      </c>
    </row>
    <row r="69" spans="1:9" x14ac:dyDescent="0.35">
      <c r="A69" t="s">
        <v>22</v>
      </c>
      <c r="B69" t="str">
        <f>TEXT(Table_sales_dashboard_data[total_sales], "yyyy-mm")</f>
        <v>1932-11</v>
      </c>
      <c r="C69" t="s">
        <v>12</v>
      </c>
      <c r="D69" t="s">
        <v>23</v>
      </c>
      <c r="E69" t="s">
        <v>19</v>
      </c>
      <c r="F69">
        <v>12001.155000000001</v>
      </c>
      <c r="G69">
        <v>-2520.1179000000002</v>
      </c>
      <c r="H69">
        <v>15</v>
      </c>
      <c r="I69">
        <v>0.375</v>
      </c>
    </row>
    <row r="70" spans="1:9" x14ac:dyDescent="0.35">
      <c r="A70" t="s">
        <v>15</v>
      </c>
      <c r="B70" t="str">
        <f>TEXT(Table_sales_dashboard_data[total_sales], "yyyy-mm")</f>
        <v>1932-11</v>
      </c>
      <c r="C70" t="s">
        <v>12</v>
      </c>
      <c r="D70" t="s">
        <v>23</v>
      </c>
      <c r="E70" t="s">
        <v>11</v>
      </c>
      <c r="F70">
        <v>11999.762000000001</v>
      </c>
      <c r="G70">
        <v>-1667.028</v>
      </c>
      <c r="H70">
        <v>28</v>
      </c>
      <c r="I70">
        <v>0.33750000000000002</v>
      </c>
    </row>
    <row r="71" spans="1:9" x14ac:dyDescent="0.35">
      <c r="A71" t="s">
        <v>22</v>
      </c>
      <c r="B71" t="str">
        <f>TEXT(Table_sales_dashboard_data[total_sales], "yyyy-mm")</f>
        <v>1932-05</v>
      </c>
      <c r="C71" t="s">
        <v>17</v>
      </c>
      <c r="D71" t="s">
        <v>18</v>
      </c>
      <c r="E71" t="s">
        <v>19</v>
      </c>
      <c r="F71">
        <v>11827.632</v>
      </c>
      <c r="G71">
        <v>2496.2001</v>
      </c>
      <c r="H71">
        <v>365</v>
      </c>
      <c r="I71">
        <v>0.38620689655172402</v>
      </c>
    </row>
    <row r="72" spans="1:9" x14ac:dyDescent="0.35">
      <c r="A72" t="s">
        <v>14</v>
      </c>
      <c r="B72" t="str">
        <f>TEXT(Table_sales_dashboard_data[total_sales], "yyyy-mm")</f>
        <v>1932-04</v>
      </c>
      <c r="C72" t="s">
        <v>17</v>
      </c>
      <c r="D72" t="s">
        <v>20</v>
      </c>
      <c r="E72" t="s">
        <v>26</v>
      </c>
      <c r="F72">
        <v>11784.698</v>
      </c>
      <c r="G72">
        <v>1325.5389</v>
      </c>
      <c r="H72">
        <v>165</v>
      </c>
      <c r="I72">
        <v>2.5641025641025599E-2</v>
      </c>
    </row>
    <row r="73" spans="1:9" x14ac:dyDescent="0.35">
      <c r="A73" t="s">
        <v>8</v>
      </c>
      <c r="B73" t="str">
        <f>TEXT(Table_sales_dashboard_data[total_sales], "yyyy-mm")</f>
        <v>1932-02</v>
      </c>
      <c r="C73" t="s">
        <v>12</v>
      </c>
      <c r="D73" t="s">
        <v>21</v>
      </c>
      <c r="E73" t="s">
        <v>19</v>
      </c>
      <c r="F73">
        <v>11747.998</v>
      </c>
      <c r="G73">
        <v>2933.5911000000001</v>
      </c>
      <c r="H73">
        <v>222</v>
      </c>
      <c r="I73">
        <v>8.5714285714285701E-2</v>
      </c>
    </row>
    <row r="74" spans="1:9" x14ac:dyDescent="0.35">
      <c r="A74" t="s">
        <v>15</v>
      </c>
      <c r="B74" t="str">
        <f>TEXT(Table_sales_dashboard_data[total_sales], "yyyy-mm")</f>
        <v>1932-01</v>
      </c>
      <c r="C74" t="s">
        <v>12</v>
      </c>
      <c r="D74" t="s">
        <v>23</v>
      </c>
      <c r="E74" t="s">
        <v>19</v>
      </c>
      <c r="F74">
        <v>11716.734</v>
      </c>
      <c r="G74">
        <v>-361.50439999999998</v>
      </c>
      <c r="H74">
        <v>23</v>
      </c>
      <c r="I74">
        <v>0.35714285714285698</v>
      </c>
    </row>
    <row r="75" spans="1:9" x14ac:dyDescent="0.35">
      <c r="A75" t="s">
        <v>22</v>
      </c>
      <c r="B75" t="str">
        <f>TEXT(Table_sales_dashboard_data[total_sales], "yyyy-mm")</f>
        <v>1931-11</v>
      </c>
      <c r="C75" t="s">
        <v>12</v>
      </c>
      <c r="D75" t="s">
        <v>21</v>
      </c>
      <c r="E75" t="s">
        <v>11</v>
      </c>
      <c r="F75">
        <v>11651.564</v>
      </c>
      <c r="G75">
        <v>2788.3072000000002</v>
      </c>
      <c r="H75">
        <v>265</v>
      </c>
      <c r="I75">
        <v>9.4285714285714195E-2</v>
      </c>
    </row>
    <row r="76" spans="1:9" x14ac:dyDescent="0.35">
      <c r="A76" t="s">
        <v>8</v>
      </c>
      <c r="B76" t="str">
        <f>TEXT(Table_sales_dashboard_data[total_sales], "yyyy-mm")</f>
        <v>1931-08</v>
      </c>
      <c r="C76" t="s">
        <v>12</v>
      </c>
      <c r="D76" t="s">
        <v>23</v>
      </c>
      <c r="E76" t="s">
        <v>26</v>
      </c>
      <c r="F76">
        <v>11545.7</v>
      </c>
      <c r="G76">
        <v>5600.1256000000003</v>
      </c>
      <c r="H76">
        <v>25</v>
      </c>
      <c r="I76">
        <v>0</v>
      </c>
    </row>
    <row r="77" spans="1:9" x14ac:dyDescent="0.35">
      <c r="A77" t="s">
        <v>22</v>
      </c>
      <c r="B77" t="str">
        <f>TEXT(Table_sales_dashboard_data[total_sales], "yyyy-mm")</f>
        <v>1931-02</v>
      </c>
      <c r="C77" t="s">
        <v>9</v>
      </c>
      <c r="D77" t="s">
        <v>10</v>
      </c>
      <c r="E77" t="s">
        <v>19</v>
      </c>
      <c r="F77">
        <v>11366.871999999999</v>
      </c>
      <c r="G77">
        <v>1183.9545000000001</v>
      </c>
      <c r="H77">
        <v>102</v>
      </c>
      <c r="I77">
        <v>0.13076923076923</v>
      </c>
    </row>
    <row r="78" spans="1:9" x14ac:dyDescent="0.35">
      <c r="A78" t="s">
        <v>22</v>
      </c>
      <c r="B78" t="str">
        <f>TEXT(Table_sales_dashboard_data[total_sales], "yyyy-mm")</f>
        <v>1931-02</v>
      </c>
      <c r="C78" t="s">
        <v>17</v>
      </c>
      <c r="D78" t="s">
        <v>20</v>
      </c>
      <c r="E78" t="s">
        <v>19</v>
      </c>
      <c r="F78">
        <v>11362.258</v>
      </c>
      <c r="G78">
        <v>718.5711</v>
      </c>
      <c r="H78">
        <v>150</v>
      </c>
      <c r="I78">
        <v>9.5000000000000001E-2</v>
      </c>
    </row>
    <row r="79" spans="1:9" x14ac:dyDescent="0.35">
      <c r="A79" t="s">
        <v>14</v>
      </c>
      <c r="B79" t="str">
        <f>TEXT(Table_sales_dashboard_data[total_sales], "yyyy-mm")</f>
        <v>1930-12</v>
      </c>
      <c r="C79" t="s">
        <v>9</v>
      </c>
      <c r="D79" t="s">
        <v>25</v>
      </c>
      <c r="E79" t="s">
        <v>19</v>
      </c>
      <c r="F79">
        <v>11293.6875</v>
      </c>
      <c r="G79">
        <v>-12.167299999999999</v>
      </c>
      <c r="H79">
        <v>93</v>
      </c>
      <c r="I79">
        <v>0.245</v>
      </c>
    </row>
    <row r="80" spans="1:9" x14ac:dyDescent="0.35">
      <c r="A80" t="s">
        <v>14</v>
      </c>
      <c r="B80" t="str">
        <f>TEXT(Table_sales_dashboard_data[total_sales], "yyyy-mm")</f>
        <v>1930-10</v>
      </c>
      <c r="C80" t="s">
        <v>12</v>
      </c>
      <c r="D80" t="s">
        <v>23</v>
      </c>
      <c r="E80" t="s">
        <v>26</v>
      </c>
      <c r="F80">
        <v>11241.208000000001</v>
      </c>
      <c r="G80">
        <v>-3772.5814</v>
      </c>
      <c r="H80">
        <v>31</v>
      </c>
      <c r="I80">
        <v>0.38750000000000001</v>
      </c>
    </row>
    <row r="81" spans="1:9" x14ac:dyDescent="0.35">
      <c r="A81" t="s">
        <v>14</v>
      </c>
      <c r="B81" t="str">
        <f>TEXT(Table_sales_dashboard_data[total_sales], "yyyy-mm")</f>
        <v>1930-09</v>
      </c>
      <c r="C81" t="s">
        <v>12</v>
      </c>
      <c r="D81" t="s">
        <v>24</v>
      </c>
      <c r="E81" t="s">
        <v>26</v>
      </c>
      <c r="F81">
        <v>11219.788</v>
      </c>
      <c r="G81">
        <v>3977.9272000000001</v>
      </c>
      <c r="H81">
        <v>24</v>
      </c>
      <c r="I81">
        <v>0.12</v>
      </c>
    </row>
    <row r="82" spans="1:9" x14ac:dyDescent="0.35">
      <c r="A82" t="s">
        <v>8</v>
      </c>
      <c r="B82" t="str">
        <f>TEXT(Table_sales_dashboard_data[total_sales], "yyyy-mm")</f>
        <v>1930-01</v>
      </c>
      <c r="C82" t="s">
        <v>17</v>
      </c>
      <c r="D82" t="s">
        <v>27</v>
      </c>
      <c r="E82" t="s">
        <v>19</v>
      </c>
      <c r="F82">
        <v>10981.263999999999</v>
      </c>
      <c r="G82">
        <v>2607.2872000000002</v>
      </c>
      <c r="H82">
        <v>162</v>
      </c>
      <c r="I82">
        <v>6.9767441860465101E-2</v>
      </c>
    </row>
    <row r="83" spans="1:9" x14ac:dyDescent="0.35">
      <c r="A83" t="s">
        <v>22</v>
      </c>
      <c r="B83" t="str">
        <f>TEXT(Table_sales_dashboard_data[total_sales], "yyyy-mm")</f>
        <v>1929-10</v>
      </c>
      <c r="C83" t="s">
        <v>9</v>
      </c>
      <c r="D83" t="s">
        <v>28</v>
      </c>
      <c r="E83" t="s">
        <v>11</v>
      </c>
      <c r="F83">
        <v>10870.574000000001</v>
      </c>
      <c r="G83">
        <v>1957.1855</v>
      </c>
      <c r="H83">
        <v>296</v>
      </c>
      <c r="I83">
        <v>0.10370370370370301</v>
      </c>
    </row>
    <row r="84" spans="1:9" x14ac:dyDescent="0.35">
      <c r="A84" t="s">
        <v>14</v>
      </c>
      <c r="B84" t="str">
        <f>TEXT(Table_sales_dashboard_data[total_sales], "yyyy-mm")</f>
        <v>1928-09</v>
      </c>
      <c r="C84" t="s">
        <v>17</v>
      </c>
      <c r="D84" t="s">
        <v>30</v>
      </c>
      <c r="E84" t="s">
        <v>11</v>
      </c>
      <c r="F84">
        <v>10490.204</v>
      </c>
      <c r="G84">
        <v>226.31739999999999</v>
      </c>
      <c r="H84">
        <v>120</v>
      </c>
      <c r="I84">
        <v>4.3749999999999997E-2</v>
      </c>
    </row>
    <row r="85" spans="1:9" x14ac:dyDescent="0.35">
      <c r="A85" t="s">
        <v>8</v>
      </c>
      <c r="B85" t="str">
        <f>TEXT(Table_sales_dashboard_data[total_sales], "yyyy-mm")</f>
        <v>1928-07</v>
      </c>
      <c r="C85" t="s">
        <v>12</v>
      </c>
      <c r="D85" t="s">
        <v>21</v>
      </c>
      <c r="E85" t="s">
        <v>26</v>
      </c>
      <c r="F85">
        <v>10424.317999999999</v>
      </c>
      <c r="G85">
        <v>3022.1950000000002</v>
      </c>
      <c r="H85">
        <v>148</v>
      </c>
      <c r="I85">
        <v>6.5116279069767399E-2</v>
      </c>
    </row>
    <row r="86" spans="1:9" x14ac:dyDescent="0.35">
      <c r="A86" t="s">
        <v>14</v>
      </c>
      <c r="B86" t="str">
        <f>TEXT(Table_sales_dashboard_data[total_sales], "yyyy-mm")</f>
        <v>1928-02</v>
      </c>
      <c r="C86" t="s">
        <v>17</v>
      </c>
      <c r="D86" t="s">
        <v>27</v>
      </c>
      <c r="E86" t="s">
        <v>19</v>
      </c>
      <c r="F86">
        <v>10259.023999999999</v>
      </c>
      <c r="G86">
        <v>2738.0167999999999</v>
      </c>
      <c r="H86">
        <v>173</v>
      </c>
      <c r="I86">
        <v>3.9130434782608602E-2</v>
      </c>
    </row>
    <row r="87" spans="1:9" x14ac:dyDescent="0.35">
      <c r="A87" t="s">
        <v>22</v>
      </c>
      <c r="B87" t="str">
        <f>TEXT(Table_sales_dashboard_data[total_sales], "yyyy-mm")</f>
        <v>1927-11</v>
      </c>
      <c r="C87" t="s">
        <v>12</v>
      </c>
      <c r="D87" t="s">
        <v>21</v>
      </c>
      <c r="E87" t="s">
        <v>19</v>
      </c>
      <c r="F87">
        <v>10175.456</v>
      </c>
      <c r="G87">
        <v>3085.4776999999999</v>
      </c>
      <c r="H87">
        <v>129</v>
      </c>
      <c r="I87">
        <v>5.8823529411764698E-2</v>
      </c>
    </row>
    <row r="88" spans="1:9" x14ac:dyDescent="0.35">
      <c r="A88" t="s">
        <v>22</v>
      </c>
      <c r="B88" t="str">
        <f>TEXT(Table_sales_dashboard_data[total_sales], "yyyy-mm")</f>
        <v>1927-09</v>
      </c>
      <c r="C88" t="s">
        <v>17</v>
      </c>
      <c r="D88" t="s">
        <v>27</v>
      </c>
      <c r="E88" t="s">
        <v>19</v>
      </c>
      <c r="F88">
        <v>10123.636</v>
      </c>
      <c r="G88">
        <v>2543.8218000000002</v>
      </c>
      <c r="H88">
        <v>100</v>
      </c>
      <c r="I88">
        <v>0.10666666666666599</v>
      </c>
    </row>
    <row r="89" spans="1:9" x14ac:dyDescent="0.35">
      <c r="A89" t="s">
        <v>8</v>
      </c>
      <c r="B89" t="str">
        <f>TEXT(Table_sales_dashboard_data[total_sales], "yyyy-mm")</f>
        <v>1927-05</v>
      </c>
      <c r="C89" t="s">
        <v>9</v>
      </c>
      <c r="D89" t="s">
        <v>28</v>
      </c>
      <c r="E89" t="s">
        <v>19</v>
      </c>
      <c r="F89">
        <v>9983.3259999999991</v>
      </c>
      <c r="G89">
        <v>1956.2306000000001</v>
      </c>
      <c r="H89">
        <v>341</v>
      </c>
      <c r="I89">
        <v>6.0606060606060601E-2</v>
      </c>
    </row>
    <row r="90" spans="1:9" x14ac:dyDescent="0.35">
      <c r="A90" t="s">
        <v>8</v>
      </c>
      <c r="B90" t="str">
        <f>TEXT(Table_sales_dashboard_data[total_sales], "yyyy-mm")</f>
        <v>1926-11</v>
      </c>
      <c r="C90" t="s">
        <v>17</v>
      </c>
      <c r="D90" t="s">
        <v>18</v>
      </c>
      <c r="E90" t="s">
        <v>26</v>
      </c>
      <c r="F90">
        <v>9827.0059999999994</v>
      </c>
      <c r="G90">
        <v>1694.2615000000001</v>
      </c>
      <c r="H90">
        <v>303</v>
      </c>
      <c r="I90">
        <v>0.35277777777777702</v>
      </c>
    </row>
    <row r="91" spans="1:9" x14ac:dyDescent="0.35">
      <c r="A91" t="s">
        <v>15</v>
      </c>
      <c r="B91" t="str">
        <f>TEXT(Table_sales_dashboard_data[total_sales], "yyyy-mm")</f>
        <v>1926-11</v>
      </c>
      <c r="C91" t="s">
        <v>17</v>
      </c>
      <c r="D91" t="s">
        <v>27</v>
      </c>
      <c r="E91" t="s">
        <v>11</v>
      </c>
      <c r="F91">
        <v>9818.7209999999995</v>
      </c>
      <c r="G91">
        <v>-3775.6064999999999</v>
      </c>
      <c r="H91">
        <v>247</v>
      </c>
      <c r="I91">
        <v>0.49393939393939301</v>
      </c>
    </row>
    <row r="92" spans="1:9" x14ac:dyDescent="0.35">
      <c r="A92" t="s">
        <v>15</v>
      </c>
      <c r="B92" t="str">
        <f>TEXT(Table_sales_dashboard_data[total_sales], "yyyy-mm")</f>
        <v>1926-01</v>
      </c>
      <c r="C92" t="s">
        <v>9</v>
      </c>
      <c r="D92" t="s">
        <v>28</v>
      </c>
      <c r="E92" t="s">
        <v>11</v>
      </c>
      <c r="F92">
        <v>9499.99</v>
      </c>
      <c r="G92">
        <v>-1454.0524</v>
      </c>
      <c r="H92">
        <v>399</v>
      </c>
      <c r="I92">
        <v>0.41111111111111098</v>
      </c>
    </row>
    <row r="93" spans="1:9" x14ac:dyDescent="0.35">
      <c r="A93" t="s">
        <v>14</v>
      </c>
      <c r="B93" t="str">
        <f>TEXT(Table_sales_dashboard_data[total_sales], "yyyy-mm")</f>
        <v>1924-06</v>
      </c>
      <c r="C93" t="s">
        <v>17</v>
      </c>
      <c r="D93" t="s">
        <v>18</v>
      </c>
      <c r="E93" t="s">
        <v>26</v>
      </c>
      <c r="F93">
        <v>8929.2330000000002</v>
      </c>
      <c r="G93">
        <v>2789.5821000000001</v>
      </c>
      <c r="H93">
        <v>344</v>
      </c>
      <c r="I93">
        <v>0.29876543209876499</v>
      </c>
    </row>
    <row r="94" spans="1:9" x14ac:dyDescent="0.35">
      <c r="A94" t="s">
        <v>15</v>
      </c>
      <c r="B94" t="str">
        <f>TEXT(Table_sales_dashboard_data[total_sales], "yyyy-mm")</f>
        <v>1924-04</v>
      </c>
      <c r="C94" t="s">
        <v>17</v>
      </c>
      <c r="D94" t="s">
        <v>18</v>
      </c>
      <c r="E94" t="s">
        <v>19</v>
      </c>
      <c r="F94">
        <v>8879.5400000000009</v>
      </c>
      <c r="G94">
        <v>-4420.4249</v>
      </c>
      <c r="H94">
        <v>427</v>
      </c>
      <c r="I94">
        <v>0.515384615384615</v>
      </c>
    </row>
    <row r="95" spans="1:9" x14ac:dyDescent="0.35">
      <c r="A95" t="s">
        <v>22</v>
      </c>
      <c r="B95" t="str">
        <f>TEXT(Table_sales_dashboard_data[total_sales], "yyyy-mm")</f>
        <v>1923-11</v>
      </c>
      <c r="C95" t="s">
        <v>9</v>
      </c>
      <c r="D95" t="s">
        <v>25</v>
      </c>
      <c r="E95" t="s">
        <v>11</v>
      </c>
      <c r="F95">
        <v>8716.5619999999999</v>
      </c>
      <c r="G95">
        <v>1220.0119999999999</v>
      </c>
      <c r="H95">
        <v>85</v>
      </c>
      <c r="I95">
        <v>8.4210526315789402E-2</v>
      </c>
    </row>
    <row r="96" spans="1:9" x14ac:dyDescent="0.35">
      <c r="A96" t="s">
        <v>15</v>
      </c>
      <c r="B96" t="str">
        <f>TEXT(Table_sales_dashboard_data[total_sales], "yyyy-mm")</f>
        <v>1923-10</v>
      </c>
      <c r="C96" t="s">
        <v>12</v>
      </c>
      <c r="D96" t="s">
        <v>21</v>
      </c>
      <c r="E96" t="s">
        <v>26</v>
      </c>
      <c r="F96">
        <v>8698.5339999999997</v>
      </c>
      <c r="G96">
        <v>2045.3109999999999</v>
      </c>
      <c r="H96">
        <v>129</v>
      </c>
      <c r="I96">
        <v>0.12903225806451599</v>
      </c>
    </row>
    <row r="97" spans="1:9" x14ac:dyDescent="0.35">
      <c r="A97" t="s">
        <v>8</v>
      </c>
      <c r="B97" t="str">
        <f>TEXT(Table_sales_dashboard_data[total_sales], "yyyy-mm")</f>
        <v>1923-09</v>
      </c>
      <c r="C97" t="s">
        <v>17</v>
      </c>
      <c r="D97" t="s">
        <v>29</v>
      </c>
      <c r="E97" t="s">
        <v>11</v>
      </c>
      <c r="F97">
        <v>8661.268</v>
      </c>
      <c r="G97">
        <v>3917.3307</v>
      </c>
      <c r="H97">
        <v>679</v>
      </c>
      <c r="I97">
        <v>5.5614973262031998E-2</v>
      </c>
    </row>
    <row r="98" spans="1:9" x14ac:dyDescent="0.35">
      <c r="A98" t="s">
        <v>14</v>
      </c>
      <c r="B98" t="str">
        <f>TEXT(Table_sales_dashboard_data[total_sales], "yyyy-mm")</f>
        <v>1923-07</v>
      </c>
      <c r="C98" t="s">
        <v>17</v>
      </c>
      <c r="D98" t="s">
        <v>29</v>
      </c>
      <c r="E98" t="s">
        <v>19</v>
      </c>
      <c r="F98">
        <v>8610.69</v>
      </c>
      <c r="G98">
        <v>3883.2948000000001</v>
      </c>
      <c r="H98">
        <v>488</v>
      </c>
      <c r="I98">
        <v>3.5658914728682101E-2</v>
      </c>
    </row>
    <row r="99" spans="1:9" x14ac:dyDescent="0.35">
      <c r="A99" t="s">
        <v>15</v>
      </c>
      <c r="B99" t="str">
        <f>TEXT(Table_sales_dashboard_data[total_sales], "yyyy-mm")</f>
        <v>1923-07</v>
      </c>
      <c r="C99" t="s">
        <v>17</v>
      </c>
      <c r="D99" t="s">
        <v>20</v>
      </c>
      <c r="E99" t="s">
        <v>26</v>
      </c>
      <c r="F99">
        <v>8601.6980000000003</v>
      </c>
      <c r="G99">
        <v>472.01620000000003</v>
      </c>
      <c r="H99">
        <v>135</v>
      </c>
      <c r="I99">
        <v>0.102702702702702</v>
      </c>
    </row>
    <row r="100" spans="1:9" x14ac:dyDescent="0.35">
      <c r="A100" t="s">
        <v>8</v>
      </c>
      <c r="B100" t="str">
        <f>TEXT(Table_sales_dashboard_data[total_sales], "yyyy-mm")</f>
        <v>1923-06</v>
      </c>
      <c r="C100" t="s">
        <v>17</v>
      </c>
      <c r="D100" t="s">
        <v>30</v>
      </c>
      <c r="E100" t="s">
        <v>11</v>
      </c>
      <c r="F100">
        <v>8567.8259999999991</v>
      </c>
      <c r="G100">
        <v>-1171.6357</v>
      </c>
      <c r="H100">
        <v>137</v>
      </c>
      <c r="I100">
        <v>0.08</v>
      </c>
    </row>
    <row r="101" spans="1:9" x14ac:dyDescent="0.35">
      <c r="A101" t="s">
        <v>15</v>
      </c>
      <c r="B101" t="str">
        <f>TEXT(Table_sales_dashboard_data[total_sales], "yyyy-mm")</f>
        <v>1923-05</v>
      </c>
      <c r="C101" t="s">
        <v>17</v>
      </c>
      <c r="D101" t="s">
        <v>27</v>
      </c>
      <c r="E101" t="s">
        <v>26</v>
      </c>
      <c r="F101">
        <v>8538.5529999999999</v>
      </c>
      <c r="G101">
        <v>1596.2195999999999</v>
      </c>
      <c r="H101">
        <v>89</v>
      </c>
      <c r="I101">
        <v>0.28095238095238001</v>
      </c>
    </row>
    <row r="102" spans="1:9" x14ac:dyDescent="0.35">
      <c r="A102" t="s">
        <v>15</v>
      </c>
      <c r="B102" t="str">
        <f>TEXT(Table_sales_dashboard_data[total_sales], "yyyy-mm")</f>
        <v>1922-12</v>
      </c>
      <c r="C102" t="s">
        <v>9</v>
      </c>
      <c r="D102" t="s">
        <v>25</v>
      </c>
      <c r="E102" t="s">
        <v>19</v>
      </c>
      <c r="F102">
        <v>8389.5007999999998</v>
      </c>
      <c r="G102">
        <v>-382.71210000000002</v>
      </c>
      <c r="H102">
        <v>74</v>
      </c>
      <c r="I102">
        <v>0.211111111111111</v>
      </c>
    </row>
    <row r="103" spans="1:9" x14ac:dyDescent="0.35">
      <c r="A103" t="s">
        <v>15</v>
      </c>
      <c r="B103" t="str">
        <f>TEXT(Table_sales_dashboard_data[total_sales], "yyyy-mm")</f>
        <v>1922-11</v>
      </c>
      <c r="C103" t="s">
        <v>17</v>
      </c>
      <c r="D103" t="s">
        <v>18</v>
      </c>
      <c r="E103" t="s">
        <v>26</v>
      </c>
      <c r="F103">
        <v>8350.1659999999993</v>
      </c>
      <c r="G103">
        <v>1544.4670000000001</v>
      </c>
      <c r="H103">
        <v>277</v>
      </c>
      <c r="I103">
        <v>0.45217391304347798</v>
      </c>
    </row>
    <row r="104" spans="1:9" x14ac:dyDescent="0.35">
      <c r="A104" t="s">
        <v>22</v>
      </c>
      <c r="B104" t="str">
        <f>TEXT(Table_sales_dashboard_data[total_sales], "yyyy-mm")</f>
        <v>1922-09</v>
      </c>
      <c r="C104" t="s">
        <v>17</v>
      </c>
      <c r="D104" t="s">
        <v>27</v>
      </c>
      <c r="E104" t="s">
        <v>11</v>
      </c>
      <c r="F104">
        <v>8287.3539999999994</v>
      </c>
      <c r="G104">
        <v>1455.2632000000001</v>
      </c>
      <c r="H104">
        <v>178</v>
      </c>
      <c r="I104">
        <v>0.113043478260869</v>
      </c>
    </row>
    <row r="105" spans="1:9" x14ac:dyDescent="0.35">
      <c r="A105" t="s">
        <v>22</v>
      </c>
      <c r="B105" t="str">
        <f>TEXT(Table_sales_dashboard_data[total_sales], "yyyy-mm")</f>
        <v>1922-05</v>
      </c>
      <c r="C105" t="s">
        <v>12</v>
      </c>
      <c r="D105" t="s">
        <v>13</v>
      </c>
      <c r="E105" t="s">
        <v>26</v>
      </c>
      <c r="F105">
        <v>8184.0020000000004</v>
      </c>
      <c r="G105">
        <v>1463.1514999999999</v>
      </c>
      <c r="H105">
        <v>93</v>
      </c>
      <c r="I105">
        <v>8.5714285714285701E-2</v>
      </c>
    </row>
    <row r="106" spans="1:9" x14ac:dyDescent="0.35">
      <c r="A106" t="s">
        <v>14</v>
      </c>
      <c r="B106" t="str">
        <f>TEXT(Table_sales_dashboard_data[total_sales], "yyyy-mm")</f>
        <v>1922-02</v>
      </c>
      <c r="C106" t="s">
        <v>12</v>
      </c>
      <c r="D106" t="s">
        <v>24</v>
      </c>
      <c r="E106" t="s">
        <v>19</v>
      </c>
      <c r="F106">
        <v>8069.8419999999996</v>
      </c>
      <c r="G106">
        <v>3190.4366</v>
      </c>
      <c r="H106">
        <v>18</v>
      </c>
      <c r="I106">
        <v>0.16</v>
      </c>
    </row>
    <row r="107" spans="1:9" x14ac:dyDescent="0.35">
      <c r="A107" t="s">
        <v>22</v>
      </c>
      <c r="B107" t="str">
        <f>TEXT(Table_sales_dashboard_data[total_sales], "yyyy-mm")</f>
        <v>1920-10</v>
      </c>
      <c r="C107" t="s">
        <v>17</v>
      </c>
      <c r="D107" t="s">
        <v>29</v>
      </c>
      <c r="E107" t="s">
        <v>11</v>
      </c>
      <c r="F107">
        <v>7603.2719999999999</v>
      </c>
      <c r="G107">
        <v>3085.3364000000001</v>
      </c>
      <c r="H107">
        <v>443</v>
      </c>
      <c r="I107">
        <v>0.112605042016806</v>
      </c>
    </row>
    <row r="108" spans="1:9" x14ac:dyDescent="0.35">
      <c r="A108" t="s">
        <v>15</v>
      </c>
      <c r="B108" t="str">
        <f>TEXT(Table_sales_dashboard_data[total_sales], "yyyy-mm")</f>
        <v>1920-09</v>
      </c>
      <c r="C108" t="s">
        <v>17</v>
      </c>
      <c r="D108" t="s">
        <v>29</v>
      </c>
      <c r="E108" t="s">
        <v>11</v>
      </c>
      <c r="F108">
        <v>7564.02</v>
      </c>
      <c r="G108">
        <v>2914.6377000000002</v>
      </c>
      <c r="H108">
        <v>586</v>
      </c>
      <c r="I108">
        <v>0.12774193548387</v>
      </c>
    </row>
    <row r="109" spans="1:9" x14ac:dyDescent="0.35">
      <c r="A109" t="s">
        <v>22</v>
      </c>
      <c r="B109" t="str">
        <f>TEXT(Table_sales_dashboard_data[total_sales], "yyyy-mm")</f>
        <v>1920-08</v>
      </c>
      <c r="C109" t="s">
        <v>17</v>
      </c>
      <c r="D109" t="s">
        <v>20</v>
      </c>
      <c r="E109" t="s">
        <v>26</v>
      </c>
      <c r="F109">
        <v>7524.0559999999996</v>
      </c>
      <c r="G109">
        <v>667.0557</v>
      </c>
      <c r="H109">
        <v>86</v>
      </c>
      <c r="I109">
        <v>0.1</v>
      </c>
    </row>
    <row r="110" spans="1:9" x14ac:dyDescent="0.35">
      <c r="A110" t="s">
        <v>14</v>
      </c>
      <c r="B110" t="str">
        <f>TEXT(Table_sales_dashboard_data[total_sales], "yyyy-mm")</f>
        <v>1920-07</v>
      </c>
      <c r="C110" t="s">
        <v>12</v>
      </c>
      <c r="D110" t="s">
        <v>21</v>
      </c>
      <c r="E110" t="s">
        <v>26</v>
      </c>
      <c r="F110">
        <v>7511.93</v>
      </c>
      <c r="G110">
        <v>2294.9692</v>
      </c>
      <c r="H110">
        <v>130</v>
      </c>
      <c r="I110">
        <v>3.8095238095238002E-2</v>
      </c>
    </row>
    <row r="111" spans="1:9" x14ac:dyDescent="0.35">
      <c r="A111" t="s">
        <v>8</v>
      </c>
      <c r="B111" t="str">
        <f>TEXT(Table_sales_dashboard_data[total_sales], "yyyy-mm")</f>
        <v>1920-07</v>
      </c>
      <c r="C111" t="s">
        <v>9</v>
      </c>
      <c r="D111" t="s">
        <v>16</v>
      </c>
      <c r="E111" t="s">
        <v>26</v>
      </c>
      <c r="F111">
        <v>7505.7820000000002</v>
      </c>
      <c r="G111">
        <v>-2017.3715999999999</v>
      </c>
      <c r="H111">
        <v>56</v>
      </c>
      <c r="I111">
        <v>0.38</v>
      </c>
    </row>
    <row r="112" spans="1:9" x14ac:dyDescent="0.35">
      <c r="A112" t="s">
        <v>14</v>
      </c>
      <c r="B112" t="str">
        <f>TEXT(Table_sales_dashboard_data[total_sales], "yyyy-mm")</f>
        <v>1920-03</v>
      </c>
      <c r="C112" t="s">
        <v>9</v>
      </c>
      <c r="D112" t="s">
        <v>28</v>
      </c>
      <c r="E112" t="s">
        <v>19</v>
      </c>
      <c r="F112">
        <v>7369.3040000000001</v>
      </c>
      <c r="G112">
        <v>1673.4023</v>
      </c>
      <c r="H112">
        <v>307</v>
      </c>
      <c r="I112">
        <v>3.8961038961038898E-2</v>
      </c>
    </row>
    <row r="113" spans="1:9" x14ac:dyDescent="0.35">
      <c r="A113" t="s">
        <v>14</v>
      </c>
      <c r="B113" t="str">
        <f>TEXT(Table_sales_dashboard_data[total_sales], "yyyy-mm")</f>
        <v>1919-08</v>
      </c>
      <c r="C113" t="s">
        <v>17</v>
      </c>
      <c r="D113" t="s">
        <v>30</v>
      </c>
      <c r="E113" t="s">
        <v>19</v>
      </c>
      <c r="F113">
        <v>7180.9440000000004</v>
      </c>
      <c r="G113">
        <v>361.61189999999999</v>
      </c>
      <c r="H113">
        <v>81</v>
      </c>
      <c r="I113">
        <v>2.4E-2</v>
      </c>
    </row>
    <row r="114" spans="1:9" x14ac:dyDescent="0.35">
      <c r="A114" t="s">
        <v>22</v>
      </c>
      <c r="B114" t="str">
        <f>TEXT(Table_sales_dashboard_data[total_sales], "yyyy-mm")</f>
        <v>1919-03</v>
      </c>
      <c r="C114" t="s">
        <v>9</v>
      </c>
      <c r="D114" t="s">
        <v>10</v>
      </c>
      <c r="E114" t="s">
        <v>26</v>
      </c>
      <c r="F114">
        <v>7005.348</v>
      </c>
      <c r="G114">
        <v>1411.1001000000001</v>
      </c>
      <c r="H114">
        <v>34</v>
      </c>
      <c r="I114">
        <v>6.6666666666666596E-2</v>
      </c>
    </row>
    <row r="115" spans="1:9" x14ac:dyDescent="0.35">
      <c r="A115" t="s">
        <v>22</v>
      </c>
      <c r="B115" t="str">
        <f>TEXT(Table_sales_dashboard_data[total_sales], "yyyy-mm")</f>
        <v>1918-11</v>
      </c>
      <c r="C115" t="s">
        <v>9</v>
      </c>
      <c r="D115" t="s">
        <v>16</v>
      </c>
      <c r="E115" t="s">
        <v>26</v>
      </c>
      <c r="F115">
        <v>6887.6745000000001</v>
      </c>
      <c r="G115">
        <v>-657.33439999999996</v>
      </c>
      <c r="H115">
        <v>29</v>
      </c>
      <c r="I115">
        <v>0.21249999999999999</v>
      </c>
    </row>
    <row r="116" spans="1:9" x14ac:dyDescent="0.35">
      <c r="A116" t="s">
        <v>14</v>
      </c>
      <c r="B116" t="str">
        <f>TEXT(Table_sales_dashboard_data[total_sales], "yyyy-mm")</f>
        <v>1918-02</v>
      </c>
      <c r="C116" t="s">
        <v>9</v>
      </c>
      <c r="D116" t="s">
        <v>28</v>
      </c>
      <c r="E116" t="s">
        <v>26</v>
      </c>
      <c r="F116">
        <v>6631.0119999999997</v>
      </c>
      <c r="G116">
        <v>1572.7155</v>
      </c>
      <c r="H116">
        <v>210</v>
      </c>
      <c r="I116">
        <v>3.7288135593220299E-2</v>
      </c>
    </row>
    <row r="117" spans="1:9" x14ac:dyDescent="0.35">
      <c r="A117" t="s">
        <v>22</v>
      </c>
      <c r="B117" t="str">
        <f>TEXT(Table_sales_dashboard_data[total_sales], "yyyy-mm")</f>
        <v>1918-01</v>
      </c>
      <c r="C117" t="s">
        <v>17</v>
      </c>
      <c r="D117" t="s">
        <v>18</v>
      </c>
      <c r="E117" t="s">
        <v>26</v>
      </c>
      <c r="F117">
        <v>6585.0060000000003</v>
      </c>
      <c r="G117">
        <v>-179.46459999999999</v>
      </c>
      <c r="H117">
        <v>187</v>
      </c>
      <c r="I117">
        <v>0.35</v>
      </c>
    </row>
    <row r="118" spans="1:9" x14ac:dyDescent="0.35">
      <c r="A118" t="s">
        <v>15</v>
      </c>
      <c r="B118" t="str">
        <f>TEXT(Table_sales_dashboard_data[total_sales], "yyyy-mm")</f>
        <v>1916-12</v>
      </c>
      <c r="C118" t="s">
        <v>12</v>
      </c>
      <c r="D118" t="s">
        <v>21</v>
      </c>
      <c r="E118" t="s">
        <v>19</v>
      </c>
      <c r="F118">
        <v>6195.2380000000003</v>
      </c>
      <c r="G118">
        <v>1462.9337</v>
      </c>
      <c r="H118">
        <v>195</v>
      </c>
      <c r="I118">
        <v>0.10980392156862701</v>
      </c>
    </row>
    <row r="119" spans="1:9" x14ac:dyDescent="0.35">
      <c r="A119" t="s">
        <v>22</v>
      </c>
      <c r="B119" t="str">
        <f>TEXT(Table_sales_dashboard_data[total_sales], "yyyy-mm")</f>
        <v>1916-06</v>
      </c>
      <c r="C119" t="s">
        <v>17</v>
      </c>
      <c r="D119" t="s">
        <v>30</v>
      </c>
      <c r="E119" t="s">
        <v>19</v>
      </c>
      <c r="F119">
        <v>6022.1540000000005</v>
      </c>
      <c r="G119">
        <v>-111.6379</v>
      </c>
      <c r="H119">
        <v>40</v>
      </c>
      <c r="I119">
        <v>9.0909090909090898E-2</v>
      </c>
    </row>
    <row r="120" spans="1:9" x14ac:dyDescent="0.35">
      <c r="A120" t="s">
        <v>8</v>
      </c>
      <c r="B120" t="str">
        <f>TEXT(Table_sales_dashboard_data[total_sales], "yyyy-mm")</f>
        <v>1916-05</v>
      </c>
      <c r="C120" t="s">
        <v>17</v>
      </c>
      <c r="D120" t="s">
        <v>29</v>
      </c>
      <c r="E120" t="s">
        <v>19</v>
      </c>
      <c r="F120">
        <v>5975.116</v>
      </c>
      <c r="G120">
        <v>2668.9582</v>
      </c>
      <c r="H120">
        <v>385</v>
      </c>
      <c r="I120">
        <v>6.2745098039215602E-2</v>
      </c>
    </row>
    <row r="121" spans="1:9" x14ac:dyDescent="0.35">
      <c r="A121" t="s">
        <v>15</v>
      </c>
      <c r="B121" t="str">
        <f>TEXT(Table_sales_dashboard_data[total_sales], "yyyy-mm")</f>
        <v>1916-04</v>
      </c>
      <c r="C121" t="s">
        <v>17</v>
      </c>
      <c r="D121" t="s">
        <v>29</v>
      </c>
      <c r="E121" t="s">
        <v>19</v>
      </c>
      <c r="F121">
        <v>5952.0020000000004</v>
      </c>
      <c r="G121">
        <v>2399.2305000000001</v>
      </c>
      <c r="H121">
        <v>426</v>
      </c>
      <c r="I121">
        <v>0.13750000000000001</v>
      </c>
    </row>
    <row r="122" spans="1:9" x14ac:dyDescent="0.35">
      <c r="A122" t="s">
        <v>8</v>
      </c>
      <c r="B122" t="str">
        <f>TEXT(Table_sales_dashboard_data[total_sales], "yyyy-mm")</f>
        <v>1916-03</v>
      </c>
      <c r="C122" t="s">
        <v>9</v>
      </c>
      <c r="D122" t="s">
        <v>28</v>
      </c>
      <c r="E122" t="s">
        <v>26</v>
      </c>
      <c r="F122">
        <v>5910.9859999999999</v>
      </c>
      <c r="G122">
        <v>904.03949999999998</v>
      </c>
      <c r="H122">
        <v>193</v>
      </c>
      <c r="I122">
        <v>9.3617021276595699E-2</v>
      </c>
    </row>
    <row r="123" spans="1:9" x14ac:dyDescent="0.35">
      <c r="A123" t="s">
        <v>15</v>
      </c>
      <c r="B123" t="str">
        <f>TEXT(Table_sales_dashboard_data[total_sales], "yyyy-mm")</f>
        <v>1915-10</v>
      </c>
      <c r="C123" t="s">
        <v>9</v>
      </c>
      <c r="D123" t="s">
        <v>16</v>
      </c>
      <c r="E123" t="s">
        <v>26</v>
      </c>
      <c r="F123">
        <v>5757.3779999999997</v>
      </c>
      <c r="G123">
        <v>-302.6739</v>
      </c>
      <c r="H123">
        <v>45</v>
      </c>
      <c r="I123">
        <v>0.19285714285714201</v>
      </c>
    </row>
    <row r="124" spans="1:9" x14ac:dyDescent="0.35">
      <c r="A124" t="s">
        <v>14</v>
      </c>
      <c r="B124" t="str">
        <f>TEXT(Table_sales_dashboard_data[total_sales], "yyyy-mm")</f>
        <v>1915-03</v>
      </c>
      <c r="C124" t="s">
        <v>17</v>
      </c>
      <c r="D124" t="s">
        <v>29</v>
      </c>
      <c r="E124" t="s">
        <v>26</v>
      </c>
      <c r="F124">
        <v>5557.22</v>
      </c>
      <c r="G124">
        <v>2618.6028000000001</v>
      </c>
      <c r="H124">
        <v>320</v>
      </c>
      <c r="I124">
        <v>2.4719101123595499E-2</v>
      </c>
    </row>
    <row r="125" spans="1:9" x14ac:dyDescent="0.35">
      <c r="A125" t="s">
        <v>8</v>
      </c>
      <c r="B125" t="str">
        <f>TEXT(Table_sales_dashboard_data[total_sales], "yyyy-mm")</f>
        <v>1915-02</v>
      </c>
      <c r="C125" t="s">
        <v>17</v>
      </c>
      <c r="D125" t="s">
        <v>29</v>
      </c>
      <c r="E125" t="s">
        <v>26</v>
      </c>
      <c r="F125">
        <v>5536.2179999999998</v>
      </c>
      <c r="G125">
        <v>2429.0821000000001</v>
      </c>
      <c r="H125">
        <v>336</v>
      </c>
      <c r="I125">
        <v>8.5393258426966198E-2</v>
      </c>
    </row>
    <row r="126" spans="1:9" x14ac:dyDescent="0.35">
      <c r="A126" t="s">
        <v>22</v>
      </c>
      <c r="B126" t="str">
        <f>TEXT(Table_sales_dashboard_data[total_sales], "yyyy-mm")</f>
        <v>1914-12</v>
      </c>
      <c r="C126" t="s">
        <v>12</v>
      </c>
      <c r="D126" t="s">
        <v>21</v>
      </c>
      <c r="E126" t="s">
        <v>26</v>
      </c>
      <c r="F126">
        <v>5449.7340000000004</v>
      </c>
      <c r="G126">
        <v>1130.7574999999999</v>
      </c>
      <c r="H126">
        <v>110</v>
      </c>
      <c r="I126">
        <v>0.1</v>
      </c>
    </row>
    <row r="127" spans="1:9" x14ac:dyDescent="0.35">
      <c r="A127" t="s">
        <v>15</v>
      </c>
      <c r="B127" t="str">
        <f>TEXT(Table_sales_dashboard_data[total_sales], "yyyy-mm")</f>
        <v>1914-04</v>
      </c>
      <c r="C127" t="s">
        <v>17</v>
      </c>
      <c r="D127" t="s">
        <v>27</v>
      </c>
      <c r="E127" t="s">
        <v>19</v>
      </c>
      <c r="F127">
        <v>5224.759</v>
      </c>
      <c r="G127">
        <v>-459.23059999999998</v>
      </c>
      <c r="H127">
        <v>134</v>
      </c>
      <c r="I127">
        <v>0.46388888888888802</v>
      </c>
    </row>
    <row r="128" spans="1:9" x14ac:dyDescent="0.35">
      <c r="A128" t="s">
        <v>14</v>
      </c>
      <c r="B128" t="str">
        <f>TEXT(Table_sales_dashboard_data[total_sales], "yyyy-mm")</f>
        <v>1913-11</v>
      </c>
      <c r="C128" t="s">
        <v>9</v>
      </c>
      <c r="D128" t="s">
        <v>25</v>
      </c>
      <c r="E128" t="s">
        <v>26</v>
      </c>
      <c r="F128">
        <v>5062.2569999999996</v>
      </c>
      <c r="G128">
        <v>332.11259999999999</v>
      </c>
      <c r="H128">
        <v>37</v>
      </c>
      <c r="I128">
        <v>0.122727272727272</v>
      </c>
    </row>
    <row r="129" spans="1:9" x14ac:dyDescent="0.35">
      <c r="A129" t="s">
        <v>22</v>
      </c>
      <c r="B129" t="str">
        <f>TEXT(Table_sales_dashboard_data[total_sales], "yyyy-mm")</f>
        <v>1913-04</v>
      </c>
      <c r="C129" t="s">
        <v>12</v>
      </c>
      <c r="D129" t="s">
        <v>24</v>
      </c>
      <c r="E129" t="s">
        <v>19</v>
      </c>
      <c r="F129">
        <v>4859.8879999999999</v>
      </c>
      <c r="G129">
        <v>1874.9614999999999</v>
      </c>
      <c r="H129">
        <v>12</v>
      </c>
      <c r="I129">
        <v>6.6666666666666596E-2</v>
      </c>
    </row>
    <row r="130" spans="1:9" x14ac:dyDescent="0.35">
      <c r="A130" t="s">
        <v>14</v>
      </c>
      <c r="B130" t="str">
        <f>TEXT(Table_sales_dashboard_data[total_sales], "yyyy-mm")</f>
        <v>1912-09</v>
      </c>
      <c r="C130" t="s">
        <v>17</v>
      </c>
      <c r="D130" t="s">
        <v>27</v>
      </c>
      <c r="E130" t="s">
        <v>26</v>
      </c>
      <c r="F130">
        <v>4653.5619999999999</v>
      </c>
      <c r="G130">
        <v>1229.7394999999999</v>
      </c>
      <c r="H130">
        <v>81</v>
      </c>
      <c r="I130">
        <v>4.1666666666666602E-2</v>
      </c>
    </row>
    <row r="131" spans="1:9" x14ac:dyDescent="0.35">
      <c r="A131" t="s">
        <v>15</v>
      </c>
      <c r="B131" t="str">
        <f>TEXT(Table_sales_dashboard_data[total_sales], "yyyy-mm")</f>
        <v>1912-06</v>
      </c>
      <c r="C131" t="s">
        <v>17</v>
      </c>
      <c r="D131" t="s">
        <v>30</v>
      </c>
      <c r="E131" t="s">
        <v>11</v>
      </c>
      <c r="F131">
        <v>4559.9120000000003</v>
      </c>
      <c r="G131">
        <v>-782.09220000000005</v>
      </c>
      <c r="H131">
        <v>63</v>
      </c>
      <c r="I131">
        <v>0.16</v>
      </c>
    </row>
    <row r="132" spans="1:9" x14ac:dyDescent="0.35">
      <c r="A132" t="s">
        <v>15</v>
      </c>
      <c r="B132" t="str">
        <f>TEXT(Table_sales_dashboard_data[total_sales], "yyyy-mm")</f>
        <v>1912-05</v>
      </c>
      <c r="C132" t="s">
        <v>12</v>
      </c>
      <c r="D132" t="s">
        <v>24</v>
      </c>
      <c r="E132" t="s">
        <v>11</v>
      </c>
      <c r="F132">
        <v>4519.884</v>
      </c>
      <c r="G132">
        <v>1482.9616000000001</v>
      </c>
      <c r="H132">
        <v>14</v>
      </c>
      <c r="I132">
        <v>0.15</v>
      </c>
    </row>
    <row r="133" spans="1:9" x14ac:dyDescent="0.35">
      <c r="A133" t="s">
        <v>22</v>
      </c>
      <c r="B133" t="str">
        <f>TEXT(Table_sales_dashboard_data[total_sales], "yyyy-mm")</f>
        <v>1912-04</v>
      </c>
      <c r="C133" t="s">
        <v>9</v>
      </c>
      <c r="D133" t="s">
        <v>28</v>
      </c>
      <c r="E133" t="s">
        <v>19</v>
      </c>
      <c r="F133">
        <v>4504.68</v>
      </c>
      <c r="G133">
        <v>1087.9331</v>
      </c>
      <c r="H133">
        <v>214</v>
      </c>
      <c r="I133">
        <v>0.12962962962962901</v>
      </c>
    </row>
    <row r="134" spans="1:9" x14ac:dyDescent="0.35">
      <c r="A134" t="s">
        <v>14</v>
      </c>
      <c r="B134" t="str">
        <f>TEXT(Table_sales_dashboard_data[total_sales], "yyyy-mm")</f>
        <v>1912-04</v>
      </c>
      <c r="C134" t="s">
        <v>17</v>
      </c>
      <c r="D134" t="s">
        <v>31</v>
      </c>
      <c r="E134" t="s">
        <v>11</v>
      </c>
      <c r="F134">
        <v>4477.6239999999998</v>
      </c>
      <c r="G134">
        <v>1211.2211</v>
      </c>
      <c r="H134">
        <v>519</v>
      </c>
      <c r="I134">
        <v>3.5294117647058802E-2</v>
      </c>
    </row>
    <row r="135" spans="1:9" x14ac:dyDescent="0.35">
      <c r="A135" t="s">
        <v>22</v>
      </c>
      <c r="B135" t="str">
        <f>TEXT(Table_sales_dashboard_data[total_sales], "yyyy-mm")</f>
        <v>1912-02</v>
      </c>
      <c r="C135" t="s">
        <v>12</v>
      </c>
      <c r="D135" t="s">
        <v>24</v>
      </c>
      <c r="E135" t="s">
        <v>11</v>
      </c>
      <c r="F135">
        <v>4439.8680000000004</v>
      </c>
      <c r="G135">
        <v>1783.9452000000001</v>
      </c>
      <c r="H135">
        <v>14</v>
      </c>
      <c r="I135">
        <v>0.1</v>
      </c>
    </row>
    <row r="136" spans="1:9" x14ac:dyDescent="0.35">
      <c r="A136" t="s">
        <v>15</v>
      </c>
      <c r="B136" t="str">
        <f>TEXT(Table_sales_dashboard_data[total_sales], "yyyy-mm")</f>
        <v>1911-12</v>
      </c>
      <c r="C136" t="s">
        <v>17</v>
      </c>
      <c r="D136" t="s">
        <v>30</v>
      </c>
      <c r="E136" t="s">
        <v>19</v>
      </c>
      <c r="F136">
        <v>4382.9279999999999</v>
      </c>
      <c r="G136">
        <v>101.8498</v>
      </c>
      <c r="H136">
        <v>38</v>
      </c>
      <c r="I136">
        <v>0.145454545454545</v>
      </c>
    </row>
    <row r="137" spans="1:9" x14ac:dyDescent="0.35">
      <c r="A137" t="s">
        <v>8</v>
      </c>
      <c r="B137" t="str">
        <f>TEXT(Table_sales_dashboard_data[total_sales], "yyyy-mm")</f>
        <v>1911-07</v>
      </c>
      <c r="C137" t="s">
        <v>12</v>
      </c>
      <c r="D137" t="s">
        <v>24</v>
      </c>
      <c r="E137" t="s">
        <v>19</v>
      </c>
      <c r="F137">
        <v>4219.9139999999998</v>
      </c>
      <c r="G137">
        <v>1134.9765</v>
      </c>
      <c r="H137">
        <v>11</v>
      </c>
      <c r="I137">
        <v>0.25</v>
      </c>
    </row>
    <row r="138" spans="1:9" x14ac:dyDescent="0.35">
      <c r="A138" t="s">
        <v>15</v>
      </c>
      <c r="B138" t="str">
        <f>TEXT(Table_sales_dashboard_data[total_sales], "yyyy-mm")</f>
        <v>1910-11</v>
      </c>
      <c r="C138" t="s">
        <v>17</v>
      </c>
      <c r="D138" t="s">
        <v>29</v>
      </c>
      <c r="E138" t="s">
        <v>26</v>
      </c>
      <c r="F138">
        <v>3975.88</v>
      </c>
      <c r="G138">
        <v>1658.0323000000001</v>
      </c>
      <c r="H138">
        <v>213</v>
      </c>
      <c r="I138">
        <v>0.114814814814814</v>
      </c>
    </row>
    <row r="139" spans="1:9" x14ac:dyDescent="0.35">
      <c r="A139" t="s">
        <v>8</v>
      </c>
      <c r="B139" t="str">
        <f>TEXT(Table_sales_dashboard_data[total_sales], "yyyy-mm")</f>
        <v>1910-07</v>
      </c>
      <c r="C139" t="s">
        <v>17</v>
      </c>
      <c r="D139" t="s">
        <v>31</v>
      </c>
      <c r="E139" t="s">
        <v>11</v>
      </c>
      <c r="F139">
        <v>3847.1979999999999</v>
      </c>
      <c r="G139">
        <v>989.06420000000003</v>
      </c>
      <c r="H139">
        <v>420</v>
      </c>
      <c r="I139">
        <v>7.0085470085470003E-2</v>
      </c>
    </row>
    <row r="140" spans="1:9" x14ac:dyDescent="0.35">
      <c r="A140" t="s">
        <v>8</v>
      </c>
      <c r="B140" t="str">
        <f>TEXT(Table_sales_dashboard_data[total_sales], "yyyy-mm")</f>
        <v>1910-06</v>
      </c>
      <c r="C140" t="s">
        <v>17</v>
      </c>
      <c r="D140" t="s">
        <v>27</v>
      </c>
      <c r="E140" t="s">
        <v>26</v>
      </c>
      <c r="F140">
        <v>3817.4459999999999</v>
      </c>
      <c r="G140">
        <v>775.36829999999998</v>
      </c>
      <c r="H140">
        <v>67</v>
      </c>
      <c r="I140">
        <v>7.0588235294117604E-2</v>
      </c>
    </row>
    <row r="141" spans="1:9" x14ac:dyDescent="0.35">
      <c r="A141" t="s">
        <v>14</v>
      </c>
      <c r="B141" t="str">
        <f>TEXT(Table_sales_dashboard_data[total_sales], "yyyy-mm")</f>
        <v>1909-07</v>
      </c>
      <c r="C141" t="s">
        <v>17</v>
      </c>
      <c r="D141" t="s">
        <v>31</v>
      </c>
      <c r="E141" t="s">
        <v>19</v>
      </c>
      <c r="F141">
        <v>3500.9</v>
      </c>
      <c r="G141">
        <v>830.25250000000005</v>
      </c>
      <c r="H141">
        <v>229</v>
      </c>
      <c r="I141">
        <v>2.5806451612903201E-2</v>
      </c>
    </row>
    <row r="142" spans="1:9" x14ac:dyDescent="0.35">
      <c r="A142" t="s">
        <v>22</v>
      </c>
      <c r="B142" t="str">
        <f>TEXT(Table_sales_dashboard_data[total_sales], "yyyy-mm")</f>
        <v>1909-02</v>
      </c>
      <c r="C142" t="s">
        <v>17</v>
      </c>
      <c r="D142" t="s">
        <v>29</v>
      </c>
      <c r="E142" t="s">
        <v>19</v>
      </c>
      <c r="F142">
        <v>3345.3220000000001</v>
      </c>
      <c r="G142">
        <v>1410.0633</v>
      </c>
      <c r="H142">
        <v>256</v>
      </c>
      <c r="I142">
        <v>9.2307692307692299E-2</v>
      </c>
    </row>
    <row r="143" spans="1:9" x14ac:dyDescent="0.35">
      <c r="A143" t="s">
        <v>8</v>
      </c>
      <c r="B143" t="str">
        <f>TEXT(Table_sales_dashboard_data[total_sales], "yyyy-mm")</f>
        <v>1909-02</v>
      </c>
      <c r="C143" t="s">
        <v>9</v>
      </c>
      <c r="D143" t="s">
        <v>25</v>
      </c>
      <c r="E143" t="s">
        <v>26</v>
      </c>
      <c r="F143">
        <v>3343.268</v>
      </c>
      <c r="G143">
        <v>59.4724</v>
      </c>
      <c r="H143">
        <v>28</v>
      </c>
      <c r="I143">
        <v>0.18</v>
      </c>
    </row>
    <row r="144" spans="1:9" x14ac:dyDescent="0.35">
      <c r="A144" t="s">
        <v>15</v>
      </c>
      <c r="B144" t="str">
        <f>TEXT(Table_sales_dashboard_data[total_sales], "yyyy-mm")</f>
        <v>1908-12</v>
      </c>
      <c r="C144" t="s">
        <v>17</v>
      </c>
      <c r="D144" t="s">
        <v>31</v>
      </c>
      <c r="E144" t="s">
        <v>11</v>
      </c>
      <c r="F144">
        <v>3272.3519999999999</v>
      </c>
      <c r="G144">
        <v>605.56150000000002</v>
      </c>
      <c r="H144">
        <v>374</v>
      </c>
      <c r="I144">
        <v>0.136170212765957</v>
      </c>
    </row>
    <row r="145" spans="1:9" x14ac:dyDescent="0.35">
      <c r="A145" t="s">
        <v>22</v>
      </c>
      <c r="B145" t="str">
        <f>TEXT(Table_sales_dashboard_data[total_sales], "yyyy-mm")</f>
        <v>1908-10</v>
      </c>
      <c r="C145" t="s">
        <v>17</v>
      </c>
      <c r="D145" t="s">
        <v>29</v>
      </c>
      <c r="E145" t="s">
        <v>26</v>
      </c>
      <c r="F145">
        <v>3202.39</v>
      </c>
      <c r="G145">
        <v>1451.6617000000001</v>
      </c>
      <c r="H145">
        <v>152</v>
      </c>
      <c r="I145">
        <v>8.6486486486486394E-2</v>
      </c>
    </row>
    <row r="146" spans="1:9" x14ac:dyDescent="0.35">
      <c r="A146" t="s">
        <v>15</v>
      </c>
      <c r="B146" t="str">
        <f>TEXT(Table_sales_dashboard_data[total_sales], "yyyy-mm")</f>
        <v>1908-08</v>
      </c>
      <c r="C146" t="s">
        <v>9</v>
      </c>
      <c r="D146" t="s">
        <v>28</v>
      </c>
      <c r="E146" t="s">
        <v>19</v>
      </c>
      <c r="F146">
        <v>3143.9560000000001</v>
      </c>
      <c r="G146">
        <v>-1209.3583000000001</v>
      </c>
      <c r="H146">
        <v>224</v>
      </c>
      <c r="I146">
        <v>0.403448275862068</v>
      </c>
    </row>
    <row r="147" spans="1:9" x14ac:dyDescent="0.35">
      <c r="A147" t="s">
        <v>15</v>
      </c>
      <c r="B147" t="str">
        <f>TEXT(Table_sales_dashboard_data[total_sales], "yyyy-mm")</f>
        <v>1908-06</v>
      </c>
      <c r="C147" t="s">
        <v>12</v>
      </c>
      <c r="D147" t="s">
        <v>23</v>
      </c>
      <c r="E147" t="s">
        <v>26</v>
      </c>
      <c r="F147">
        <v>3080.8879999999999</v>
      </c>
      <c r="G147">
        <v>542.46579999999994</v>
      </c>
      <c r="H147">
        <v>15</v>
      </c>
      <c r="I147">
        <v>0.28333333333333299</v>
      </c>
    </row>
    <row r="148" spans="1:9" x14ac:dyDescent="0.35">
      <c r="A148" t="s">
        <v>15</v>
      </c>
      <c r="B148" t="str">
        <f>TEXT(Table_sales_dashboard_data[total_sales], "yyyy-mm")</f>
        <v>1908-05</v>
      </c>
      <c r="C148" t="s">
        <v>12</v>
      </c>
      <c r="D148" t="s">
        <v>24</v>
      </c>
      <c r="E148" t="s">
        <v>26</v>
      </c>
      <c r="F148">
        <v>3059.944</v>
      </c>
      <c r="G148">
        <v>1335.9754</v>
      </c>
      <c r="H148">
        <v>6</v>
      </c>
      <c r="I148">
        <v>0.05</v>
      </c>
    </row>
    <row r="149" spans="1:9" x14ac:dyDescent="0.35">
      <c r="A149" t="s">
        <v>15</v>
      </c>
      <c r="B149" t="str">
        <f>TEXT(Table_sales_dashboard_data[total_sales], "yyyy-mm")</f>
        <v>1907-09</v>
      </c>
      <c r="C149" t="s">
        <v>9</v>
      </c>
      <c r="D149" t="s">
        <v>25</v>
      </c>
      <c r="E149" t="s">
        <v>26</v>
      </c>
      <c r="F149">
        <v>2806.8220000000001</v>
      </c>
      <c r="G149">
        <v>-118.06619999999999</v>
      </c>
      <c r="H149">
        <v>23</v>
      </c>
      <c r="I149">
        <v>0.19750000000000001</v>
      </c>
    </row>
    <row r="150" spans="1:9" x14ac:dyDescent="0.35">
      <c r="A150" t="s">
        <v>22</v>
      </c>
      <c r="B150" t="str">
        <f>TEXT(Table_sales_dashboard_data[total_sales], "yyyy-mm")</f>
        <v>1907-04</v>
      </c>
      <c r="C150" t="s">
        <v>17</v>
      </c>
      <c r="D150" t="s">
        <v>31</v>
      </c>
      <c r="E150" t="s">
        <v>11</v>
      </c>
      <c r="F150">
        <v>2654.7559999999999</v>
      </c>
      <c r="G150">
        <v>648.45429999999999</v>
      </c>
      <c r="H150">
        <v>312</v>
      </c>
      <c r="I150">
        <v>9.8765432098765399E-2</v>
      </c>
    </row>
    <row r="151" spans="1:9" x14ac:dyDescent="0.35">
      <c r="A151" t="s">
        <v>15</v>
      </c>
      <c r="B151" t="str">
        <f>TEXT(Table_sales_dashboard_data[total_sales], "yyyy-mm")</f>
        <v>1907-02</v>
      </c>
      <c r="C151" t="s">
        <v>9</v>
      </c>
      <c r="D151" t="s">
        <v>28</v>
      </c>
      <c r="E151" t="s">
        <v>26</v>
      </c>
      <c r="F151">
        <v>2610.424</v>
      </c>
      <c r="G151">
        <v>-1242.8061</v>
      </c>
      <c r="H151">
        <v>135</v>
      </c>
      <c r="I151">
        <v>0.38461538461538403</v>
      </c>
    </row>
    <row r="152" spans="1:9" x14ac:dyDescent="0.35">
      <c r="A152" t="s">
        <v>14</v>
      </c>
      <c r="B152" t="str">
        <f>TEXT(Table_sales_dashboard_data[total_sales], "yyyy-mm")</f>
        <v>1906-09</v>
      </c>
      <c r="C152" t="s">
        <v>17</v>
      </c>
      <c r="D152" t="s">
        <v>32</v>
      </c>
      <c r="E152" t="s">
        <v>11</v>
      </c>
      <c r="F152">
        <v>2445.0340000000001</v>
      </c>
      <c r="G152">
        <v>1167.3533</v>
      </c>
      <c r="H152">
        <v>259</v>
      </c>
      <c r="I152">
        <v>1.26984126984126E-2</v>
      </c>
    </row>
    <row r="153" spans="1:9" x14ac:dyDescent="0.35">
      <c r="A153" t="s">
        <v>15</v>
      </c>
      <c r="B153" t="str">
        <f>TEXT(Table_sales_dashboard_data[total_sales], "yyyy-mm")</f>
        <v>1906-06</v>
      </c>
      <c r="C153" t="s">
        <v>17</v>
      </c>
      <c r="D153" t="s">
        <v>33</v>
      </c>
      <c r="E153" t="s">
        <v>11</v>
      </c>
      <c r="F153">
        <v>2365.4499999999998</v>
      </c>
      <c r="G153">
        <v>912.66160000000002</v>
      </c>
      <c r="H153">
        <v>99</v>
      </c>
      <c r="I153">
        <v>0.12413793103448199</v>
      </c>
    </row>
    <row r="154" spans="1:9" x14ac:dyDescent="0.35">
      <c r="A154" t="s">
        <v>8</v>
      </c>
      <c r="B154" t="str">
        <f>TEXT(Table_sales_dashboard_data[total_sales], "yyyy-mm")</f>
        <v>1906-03</v>
      </c>
      <c r="C154" t="s">
        <v>17</v>
      </c>
      <c r="D154" t="s">
        <v>31</v>
      </c>
      <c r="E154" t="s">
        <v>19</v>
      </c>
      <c r="F154">
        <v>2278.402</v>
      </c>
      <c r="G154">
        <v>566.17160000000001</v>
      </c>
      <c r="H154">
        <v>287</v>
      </c>
      <c r="I154">
        <v>7.2222222222222202E-2</v>
      </c>
    </row>
    <row r="155" spans="1:9" x14ac:dyDescent="0.35">
      <c r="A155" t="s">
        <v>14</v>
      </c>
      <c r="B155" t="str">
        <f>TEXT(Table_sales_dashboard_data[total_sales], "yyyy-mm")</f>
        <v>1905-11</v>
      </c>
      <c r="C155" t="s">
        <v>17</v>
      </c>
      <c r="D155" t="s">
        <v>32</v>
      </c>
      <c r="E155" t="s">
        <v>19</v>
      </c>
      <c r="F155">
        <v>2132.7260000000001</v>
      </c>
      <c r="G155">
        <v>904.59019999999998</v>
      </c>
      <c r="H155">
        <v>133</v>
      </c>
      <c r="I155">
        <v>3.03030303030303E-2</v>
      </c>
    </row>
    <row r="156" spans="1:9" x14ac:dyDescent="0.35">
      <c r="A156" t="s">
        <v>22</v>
      </c>
      <c r="B156" t="str">
        <f>TEXT(Table_sales_dashboard_data[total_sales], "yyyy-mm")</f>
        <v>1905-10</v>
      </c>
      <c r="C156" t="s">
        <v>17</v>
      </c>
      <c r="D156" t="s">
        <v>30</v>
      </c>
      <c r="E156" t="s">
        <v>11</v>
      </c>
      <c r="F156">
        <v>2123.5540000000001</v>
      </c>
      <c r="G156">
        <v>69.859200000000001</v>
      </c>
      <c r="H156">
        <v>39</v>
      </c>
      <c r="I156">
        <v>0.123076923076923</v>
      </c>
    </row>
    <row r="157" spans="1:9" x14ac:dyDescent="0.35">
      <c r="A157" t="s">
        <v>14</v>
      </c>
      <c r="B157" t="str">
        <f>TEXT(Table_sales_dashboard_data[total_sales], "yyyy-mm")</f>
        <v>1905-10</v>
      </c>
      <c r="C157" t="s">
        <v>17</v>
      </c>
      <c r="D157" t="s">
        <v>33</v>
      </c>
      <c r="E157" t="s">
        <v>11</v>
      </c>
      <c r="F157">
        <v>2118.616</v>
      </c>
      <c r="G157">
        <v>966.44060000000002</v>
      </c>
      <c r="H157">
        <v>118</v>
      </c>
      <c r="I157">
        <v>5.7142857142857099E-2</v>
      </c>
    </row>
    <row r="158" spans="1:9" x14ac:dyDescent="0.35">
      <c r="A158" t="s">
        <v>8</v>
      </c>
      <c r="B158" t="str">
        <f>TEXT(Table_sales_dashboard_data[total_sales], "yyyy-mm")</f>
        <v>1905-09</v>
      </c>
      <c r="C158" t="s">
        <v>17</v>
      </c>
      <c r="D158" t="s">
        <v>33</v>
      </c>
      <c r="E158" t="s">
        <v>11</v>
      </c>
      <c r="F158">
        <v>2095.5219999999999</v>
      </c>
      <c r="G158">
        <v>881.87969999999996</v>
      </c>
      <c r="H158">
        <v>133</v>
      </c>
      <c r="I158">
        <v>7.69230769230769E-2</v>
      </c>
    </row>
    <row r="159" spans="1:9" x14ac:dyDescent="0.35">
      <c r="A159" t="s">
        <v>22</v>
      </c>
      <c r="B159" t="str">
        <f>TEXT(Table_sales_dashboard_data[total_sales], "yyyy-mm")</f>
        <v>1905-04</v>
      </c>
      <c r="C159" t="s">
        <v>9</v>
      </c>
      <c r="D159" t="s">
        <v>28</v>
      </c>
      <c r="E159" t="s">
        <v>26</v>
      </c>
      <c r="F159">
        <v>1931.43</v>
      </c>
      <c r="G159">
        <v>397.5643</v>
      </c>
      <c r="H159">
        <v>105</v>
      </c>
      <c r="I159">
        <v>7.3333333333333306E-2</v>
      </c>
    </row>
    <row r="160" spans="1:9" x14ac:dyDescent="0.35">
      <c r="A160" t="s">
        <v>22</v>
      </c>
      <c r="B160" t="str">
        <f>TEXT(Table_sales_dashboard_data[total_sales], "yyyy-mm")</f>
        <v>1905-02</v>
      </c>
      <c r="C160" t="s">
        <v>17</v>
      </c>
      <c r="D160" t="s">
        <v>32</v>
      </c>
      <c r="E160" t="s">
        <v>11</v>
      </c>
      <c r="F160">
        <v>1868.222</v>
      </c>
      <c r="G160">
        <v>840.90380000000005</v>
      </c>
      <c r="H160">
        <v>94</v>
      </c>
      <c r="I160">
        <v>0.1</v>
      </c>
    </row>
    <row r="161" spans="1:9" x14ac:dyDescent="0.35">
      <c r="A161" t="s">
        <v>8</v>
      </c>
      <c r="B161" t="str">
        <f>TEXT(Table_sales_dashboard_data[total_sales], "yyyy-mm")</f>
        <v>1905-01</v>
      </c>
      <c r="C161" t="s">
        <v>17</v>
      </c>
      <c r="D161" t="s">
        <v>30</v>
      </c>
      <c r="E161" t="s">
        <v>19</v>
      </c>
      <c r="F161">
        <v>1849.258</v>
      </c>
      <c r="G161">
        <v>-12.897399999999999</v>
      </c>
      <c r="H161">
        <v>43</v>
      </c>
      <c r="I161">
        <v>4.2857142857142802E-2</v>
      </c>
    </row>
    <row r="162" spans="1:9" x14ac:dyDescent="0.35">
      <c r="A162" t="s">
        <v>14</v>
      </c>
      <c r="B162" t="str">
        <f>TEXT(Table_sales_dashboard_data[total_sales], "yyyy-mm")</f>
        <v>1904-07</v>
      </c>
      <c r="C162" t="s">
        <v>17</v>
      </c>
      <c r="D162" t="s">
        <v>33</v>
      </c>
      <c r="E162" t="s">
        <v>19</v>
      </c>
      <c r="F162">
        <v>1656.5920000000001</v>
      </c>
      <c r="G162">
        <v>780.59979999999996</v>
      </c>
      <c r="H162">
        <v>79</v>
      </c>
      <c r="I162">
        <v>1.7391304347826E-2</v>
      </c>
    </row>
    <row r="163" spans="1:9" x14ac:dyDescent="0.35">
      <c r="A163" t="s">
        <v>8</v>
      </c>
      <c r="B163" t="str">
        <f>TEXT(Table_sales_dashboard_data[total_sales], "yyyy-mm")</f>
        <v>1904-07</v>
      </c>
      <c r="C163" t="s">
        <v>17</v>
      </c>
      <c r="D163" t="s">
        <v>32</v>
      </c>
      <c r="E163" t="s">
        <v>11</v>
      </c>
      <c r="F163">
        <v>1652.8</v>
      </c>
      <c r="G163">
        <v>733.529</v>
      </c>
      <c r="H163">
        <v>239</v>
      </c>
      <c r="I163">
        <v>5.7142857142857099E-2</v>
      </c>
    </row>
    <row r="164" spans="1:9" x14ac:dyDescent="0.35">
      <c r="A164" t="s">
        <v>8</v>
      </c>
      <c r="B164" t="str">
        <f>TEXT(Table_sales_dashboard_data[total_sales], "yyyy-mm")</f>
        <v>1904-04</v>
      </c>
      <c r="C164" t="s">
        <v>17</v>
      </c>
      <c r="D164" t="s">
        <v>33</v>
      </c>
      <c r="E164" t="s">
        <v>19</v>
      </c>
      <c r="F164">
        <v>1579.2660000000001</v>
      </c>
      <c r="G164">
        <v>663.58519999999999</v>
      </c>
      <c r="H164">
        <v>97</v>
      </c>
      <c r="I164">
        <v>0.08</v>
      </c>
    </row>
    <row r="165" spans="1:9" x14ac:dyDescent="0.35">
      <c r="A165" t="s">
        <v>15</v>
      </c>
      <c r="B165" t="str">
        <f>TEXT(Table_sales_dashboard_data[total_sales], "yyyy-mm")</f>
        <v>1904-01</v>
      </c>
      <c r="C165" t="s">
        <v>17</v>
      </c>
      <c r="D165" t="s">
        <v>31</v>
      </c>
      <c r="E165" t="s">
        <v>19</v>
      </c>
      <c r="F165">
        <v>1478.742</v>
      </c>
      <c r="G165">
        <v>343.96929999999998</v>
      </c>
      <c r="H165">
        <v>177</v>
      </c>
      <c r="I165">
        <v>0.104545454545454</v>
      </c>
    </row>
    <row r="166" spans="1:9" x14ac:dyDescent="0.35">
      <c r="A166" t="s">
        <v>22</v>
      </c>
      <c r="B166" t="str">
        <f>TEXT(Table_sales_dashboard_data[total_sales], "yyyy-mm")</f>
        <v>1904-01</v>
      </c>
      <c r="C166" t="s">
        <v>17</v>
      </c>
      <c r="D166" t="s">
        <v>33</v>
      </c>
      <c r="E166" t="s">
        <v>19</v>
      </c>
      <c r="F166">
        <v>1470.904</v>
      </c>
      <c r="G166">
        <v>643.37980000000005</v>
      </c>
      <c r="H166">
        <v>90</v>
      </c>
      <c r="I166">
        <v>5.7142857142857099E-2</v>
      </c>
    </row>
    <row r="167" spans="1:9" x14ac:dyDescent="0.35">
      <c r="A167" t="s">
        <v>8</v>
      </c>
      <c r="B167" t="str">
        <f>TEXT(Table_sales_dashboard_data[total_sales], "yyyy-mm")</f>
        <v>1903-09</v>
      </c>
      <c r="C167" t="s">
        <v>17</v>
      </c>
      <c r="D167" t="s">
        <v>31</v>
      </c>
      <c r="E167" t="s">
        <v>26</v>
      </c>
      <c r="F167">
        <v>1360.164</v>
      </c>
      <c r="G167">
        <v>344.70850000000002</v>
      </c>
      <c r="H167">
        <v>142</v>
      </c>
      <c r="I167">
        <v>6.15384615384615E-2</v>
      </c>
    </row>
    <row r="168" spans="1:9" x14ac:dyDescent="0.35">
      <c r="A168" t="s">
        <v>22</v>
      </c>
      <c r="B168" t="str">
        <f>TEXT(Table_sales_dashboard_data[total_sales], "yyyy-mm")</f>
        <v>1903-08</v>
      </c>
      <c r="C168" t="s">
        <v>17</v>
      </c>
      <c r="D168" t="s">
        <v>31</v>
      </c>
      <c r="E168" t="s">
        <v>19</v>
      </c>
      <c r="F168">
        <v>1332.404</v>
      </c>
      <c r="G168">
        <v>264.2543</v>
      </c>
      <c r="H168">
        <v>157</v>
      </c>
      <c r="I168">
        <v>0.105</v>
      </c>
    </row>
    <row r="169" spans="1:9" x14ac:dyDescent="0.35">
      <c r="A169" t="s">
        <v>15</v>
      </c>
      <c r="B169" t="str">
        <f>TEXT(Table_sales_dashboard_data[total_sales], "yyyy-mm")</f>
        <v>1903-05</v>
      </c>
      <c r="C169" t="s">
        <v>17</v>
      </c>
      <c r="D169" t="s">
        <v>33</v>
      </c>
      <c r="E169" t="s">
        <v>19</v>
      </c>
      <c r="F169">
        <v>1235.9079999999999</v>
      </c>
      <c r="G169">
        <v>483.66419999999999</v>
      </c>
      <c r="H169">
        <v>57</v>
      </c>
      <c r="I169">
        <v>0.146666666666666</v>
      </c>
    </row>
    <row r="170" spans="1:9" x14ac:dyDescent="0.35">
      <c r="A170" t="s">
        <v>14</v>
      </c>
      <c r="B170" t="str">
        <f>TEXT(Table_sales_dashboard_data[total_sales], "yyyy-mm")</f>
        <v>1903-05</v>
      </c>
      <c r="C170" t="s">
        <v>17</v>
      </c>
      <c r="D170" t="s">
        <v>31</v>
      </c>
      <c r="E170" t="s">
        <v>26</v>
      </c>
      <c r="F170">
        <v>1233.5419999999999</v>
      </c>
      <c r="G170">
        <v>332.6234</v>
      </c>
      <c r="H170">
        <v>178</v>
      </c>
      <c r="I170">
        <v>2.69230769230769E-2</v>
      </c>
    </row>
    <row r="171" spans="1:9" x14ac:dyDescent="0.35">
      <c r="A171" t="s">
        <v>22</v>
      </c>
      <c r="B171" t="str">
        <f>TEXT(Table_sales_dashboard_data[total_sales], "yyyy-mm")</f>
        <v>1903-04</v>
      </c>
      <c r="C171" t="s">
        <v>17</v>
      </c>
      <c r="D171" t="s">
        <v>33</v>
      </c>
      <c r="E171" t="s">
        <v>11</v>
      </c>
      <c r="F171">
        <v>1191.558</v>
      </c>
      <c r="G171">
        <v>503.4307</v>
      </c>
      <c r="H171">
        <v>92</v>
      </c>
      <c r="I171">
        <v>0.1</v>
      </c>
    </row>
    <row r="172" spans="1:9" x14ac:dyDescent="0.35">
      <c r="A172" t="s">
        <v>22</v>
      </c>
      <c r="B172" t="str">
        <f>TEXT(Table_sales_dashboard_data[total_sales], "yyyy-mm")</f>
        <v>1903-02</v>
      </c>
      <c r="C172" t="s">
        <v>9</v>
      </c>
      <c r="D172" t="s">
        <v>25</v>
      </c>
      <c r="E172" t="s">
        <v>19</v>
      </c>
      <c r="F172">
        <v>1153.8040000000001</v>
      </c>
      <c r="G172">
        <v>68.366600000000005</v>
      </c>
      <c r="H172">
        <v>20</v>
      </c>
      <c r="I172">
        <v>0.16</v>
      </c>
    </row>
    <row r="173" spans="1:9" x14ac:dyDescent="0.35">
      <c r="A173" t="s">
        <v>22</v>
      </c>
      <c r="B173" t="str">
        <f>TEXT(Table_sales_dashboard_data[total_sales], "yyyy-mm")</f>
        <v>1903-01</v>
      </c>
      <c r="C173" t="s">
        <v>17</v>
      </c>
      <c r="D173" t="s">
        <v>27</v>
      </c>
      <c r="E173" t="s">
        <v>26</v>
      </c>
      <c r="F173">
        <v>1114.336</v>
      </c>
      <c r="G173">
        <v>124.8546</v>
      </c>
      <c r="H173">
        <v>15</v>
      </c>
      <c r="I173">
        <v>0.12</v>
      </c>
    </row>
    <row r="174" spans="1:9" x14ac:dyDescent="0.35">
      <c r="A174" t="s">
        <v>15</v>
      </c>
      <c r="B174" t="str">
        <f>TEXT(Table_sales_dashboard_data[total_sales], "yyyy-mm")</f>
        <v>1902-12</v>
      </c>
      <c r="C174" t="s">
        <v>17</v>
      </c>
      <c r="D174" t="s">
        <v>32</v>
      </c>
      <c r="E174" t="s">
        <v>19</v>
      </c>
      <c r="F174">
        <v>1095.1079999999999</v>
      </c>
      <c r="G174">
        <v>487.17</v>
      </c>
      <c r="H174">
        <v>80</v>
      </c>
      <c r="I174">
        <v>0.147826086956521</v>
      </c>
    </row>
    <row r="175" spans="1:9" x14ac:dyDescent="0.35">
      <c r="A175" t="s">
        <v>15</v>
      </c>
      <c r="B175" t="str">
        <f>TEXT(Table_sales_dashboard_data[total_sales], "yyyy-mm")</f>
        <v>1902-10</v>
      </c>
      <c r="C175" t="s">
        <v>17</v>
      </c>
      <c r="D175" t="s">
        <v>33</v>
      </c>
      <c r="E175" t="s">
        <v>26</v>
      </c>
      <c r="F175">
        <v>1035.5139999999999</v>
      </c>
      <c r="G175">
        <v>381.20249999999999</v>
      </c>
      <c r="H175">
        <v>50</v>
      </c>
      <c r="I175">
        <v>0.12</v>
      </c>
    </row>
    <row r="176" spans="1:9" x14ac:dyDescent="0.35">
      <c r="A176" t="s">
        <v>22</v>
      </c>
      <c r="B176" t="str">
        <f>TEXT(Table_sales_dashboard_data[total_sales], "yyyy-mm")</f>
        <v>1902-10</v>
      </c>
      <c r="C176" t="s">
        <v>9</v>
      </c>
      <c r="D176" t="s">
        <v>25</v>
      </c>
      <c r="E176" t="s">
        <v>26</v>
      </c>
      <c r="F176">
        <v>1028.9960000000001</v>
      </c>
      <c r="G176">
        <v>51.113199999999999</v>
      </c>
      <c r="H176">
        <v>13</v>
      </c>
      <c r="I176">
        <v>0.1</v>
      </c>
    </row>
    <row r="177" spans="1:9" x14ac:dyDescent="0.35">
      <c r="A177" t="s">
        <v>15</v>
      </c>
      <c r="B177" t="str">
        <f>TEXT(Table_sales_dashboard_data[total_sales], "yyyy-mm")</f>
        <v>1902-10</v>
      </c>
      <c r="C177" t="s">
        <v>17</v>
      </c>
      <c r="D177" t="s">
        <v>31</v>
      </c>
      <c r="E177" t="s">
        <v>26</v>
      </c>
      <c r="F177">
        <v>1014.246</v>
      </c>
      <c r="G177">
        <v>245.6283</v>
      </c>
      <c r="H177">
        <v>127</v>
      </c>
      <c r="I177">
        <v>0.110526315789473</v>
      </c>
    </row>
    <row r="178" spans="1:9" x14ac:dyDescent="0.35">
      <c r="A178" t="s">
        <v>15</v>
      </c>
      <c r="B178" t="str">
        <f>TEXT(Table_sales_dashboard_data[total_sales], "yyyy-mm")</f>
        <v>1902-01</v>
      </c>
      <c r="C178" t="s">
        <v>17</v>
      </c>
      <c r="D178" t="s">
        <v>32</v>
      </c>
      <c r="E178" t="s">
        <v>11</v>
      </c>
      <c r="F178">
        <v>743.20600000000002</v>
      </c>
      <c r="G178">
        <v>334.20229999999998</v>
      </c>
      <c r="H178">
        <v>123</v>
      </c>
      <c r="I178">
        <v>9.69696969696969E-2</v>
      </c>
    </row>
    <row r="179" spans="1:9" x14ac:dyDescent="0.35">
      <c r="A179" t="s">
        <v>8</v>
      </c>
      <c r="B179" t="str">
        <f>TEXT(Table_sales_dashboard_data[total_sales], "yyyy-mm")</f>
        <v>1901-12</v>
      </c>
      <c r="C179" t="s">
        <v>17</v>
      </c>
      <c r="D179" t="s">
        <v>33</v>
      </c>
      <c r="E179" t="s">
        <v>26</v>
      </c>
      <c r="F179">
        <v>701.08600000000001</v>
      </c>
      <c r="G179">
        <v>266.94409999999999</v>
      </c>
      <c r="H179">
        <v>37</v>
      </c>
      <c r="I179">
        <v>0.1</v>
      </c>
    </row>
    <row r="180" spans="1:9" x14ac:dyDescent="0.35">
      <c r="A180" t="s">
        <v>22</v>
      </c>
      <c r="B180" t="str">
        <f>TEXT(Table_sales_dashboard_data[total_sales], "yyyy-mm")</f>
        <v>1901-11</v>
      </c>
      <c r="C180" t="s">
        <v>17</v>
      </c>
      <c r="D180" t="s">
        <v>33</v>
      </c>
      <c r="E180" t="s">
        <v>26</v>
      </c>
      <c r="F180">
        <v>683.09400000000005</v>
      </c>
      <c r="G180">
        <v>318.66649999999998</v>
      </c>
      <c r="H180">
        <v>24</v>
      </c>
      <c r="I180">
        <v>2.8571428571428501E-2</v>
      </c>
    </row>
    <row r="181" spans="1:9" x14ac:dyDescent="0.35">
      <c r="A181" t="s">
        <v>22</v>
      </c>
      <c r="B181" t="str">
        <f>TEXT(Table_sales_dashboard_data[total_sales], "yyyy-mm")</f>
        <v>1901-10</v>
      </c>
      <c r="C181" t="s">
        <v>17</v>
      </c>
      <c r="D181" t="s">
        <v>31</v>
      </c>
      <c r="E181" t="s">
        <v>26</v>
      </c>
      <c r="F181">
        <v>668.46199999999999</v>
      </c>
      <c r="G181">
        <v>145.87799999999999</v>
      </c>
      <c r="H181">
        <v>78</v>
      </c>
      <c r="I181">
        <v>0.104761904761904</v>
      </c>
    </row>
    <row r="182" spans="1:9" x14ac:dyDescent="0.35">
      <c r="A182" t="s">
        <v>15</v>
      </c>
      <c r="B182" t="str">
        <f>TEXT(Table_sales_dashboard_data[total_sales], "yyyy-mm")</f>
        <v>1901-09</v>
      </c>
      <c r="C182" t="s">
        <v>17</v>
      </c>
      <c r="D182" t="s">
        <v>32</v>
      </c>
      <c r="E182" t="s">
        <v>26</v>
      </c>
      <c r="F182">
        <v>613.15800000000002</v>
      </c>
      <c r="G182">
        <v>251.7071</v>
      </c>
      <c r="H182">
        <v>81</v>
      </c>
      <c r="I182">
        <v>0.1</v>
      </c>
    </row>
    <row r="183" spans="1:9" x14ac:dyDescent="0.35">
      <c r="A183" t="s">
        <v>14</v>
      </c>
      <c r="B183" t="str">
        <f>TEXT(Table_sales_dashboard_data[total_sales], "yyyy-mm")</f>
        <v>1901-07</v>
      </c>
      <c r="C183" t="s">
        <v>17</v>
      </c>
      <c r="D183" t="s">
        <v>34</v>
      </c>
      <c r="E183" t="s">
        <v>11</v>
      </c>
      <c r="F183">
        <v>558.39599999999996</v>
      </c>
      <c r="G183">
        <v>185.20869999999999</v>
      </c>
      <c r="H183">
        <v>155</v>
      </c>
      <c r="I183">
        <v>1.9047619047619001E-2</v>
      </c>
    </row>
    <row r="184" spans="1:9" x14ac:dyDescent="0.35">
      <c r="A184" t="s">
        <v>15</v>
      </c>
      <c r="B184" t="str">
        <f>TEXT(Table_sales_dashboard_data[total_sales], "yyyy-mm")</f>
        <v>1901-06</v>
      </c>
      <c r="C184" t="s">
        <v>17</v>
      </c>
      <c r="D184" t="s">
        <v>30</v>
      </c>
      <c r="E184" t="s">
        <v>26</v>
      </c>
      <c r="F184">
        <v>524.53200000000004</v>
      </c>
      <c r="G184">
        <v>18.354299999999999</v>
      </c>
      <c r="H184">
        <v>21</v>
      </c>
      <c r="I184">
        <v>0.08</v>
      </c>
    </row>
    <row r="185" spans="1:9" x14ac:dyDescent="0.35">
      <c r="A185" t="s">
        <v>8</v>
      </c>
      <c r="B185" t="str">
        <f>TEXT(Table_sales_dashboard_data[total_sales], "yyyy-mm")</f>
        <v>1901-05</v>
      </c>
      <c r="C185" t="s">
        <v>17</v>
      </c>
      <c r="D185" t="s">
        <v>32</v>
      </c>
      <c r="E185" t="s">
        <v>19</v>
      </c>
      <c r="F185">
        <v>508.58600000000001</v>
      </c>
      <c r="G185">
        <v>218.62989999999999</v>
      </c>
      <c r="H185">
        <v>98</v>
      </c>
      <c r="I185">
        <v>6.9565217391304293E-2</v>
      </c>
    </row>
    <row r="186" spans="1:9" x14ac:dyDescent="0.35">
      <c r="A186" t="s">
        <v>14</v>
      </c>
      <c r="B186" t="str">
        <f>TEXT(Table_sales_dashboard_data[total_sales], "yyyy-mm")</f>
        <v>1901-05</v>
      </c>
      <c r="C186" t="s">
        <v>17</v>
      </c>
      <c r="D186" t="s">
        <v>32</v>
      </c>
      <c r="E186" t="s">
        <v>26</v>
      </c>
      <c r="F186">
        <v>500.96600000000001</v>
      </c>
      <c r="G186">
        <v>231.1788</v>
      </c>
      <c r="H186">
        <v>88</v>
      </c>
      <c r="I186">
        <v>0.02</v>
      </c>
    </row>
    <row r="187" spans="1:9" x14ac:dyDescent="0.35">
      <c r="A187" t="s">
        <v>14</v>
      </c>
      <c r="B187" t="str">
        <f>TEXT(Table_sales_dashboard_data[total_sales], "yyyy-mm")</f>
        <v>1901-03</v>
      </c>
      <c r="C187" t="s">
        <v>17</v>
      </c>
      <c r="D187" t="s">
        <v>30</v>
      </c>
      <c r="E187" t="s">
        <v>26</v>
      </c>
      <c r="F187">
        <v>455.97399999999999</v>
      </c>
      <c r="G187">
        <v>38.117199999999997</v>
      </c>
      <c r="H187">
        <v>37</v>
      </c>
      <c r="I187">
        <v>0.05</v>
      </c>
    </row>
    <row r="188" spans="1:9" x14ac:dyDescent="0.35">
      <c r="A188" t="s">
        <v>8</v>
      </c>
      <c r="B188" t="str">
        <f>TEXT(Table_sales_dashboard_data[total_sales], "yyyy-mm")</f>
        <v>1901-03</v>
      </c>
      <c r="C188" t="s">
        <v>17</v>
      </c>
      <c r="D188" t="s">
        <v>32</v>
      </c>
      <c r="E188" t="s">
        <v>26</v>
      </c>
      <c r="F188">
        <v>441.548</v>
      </c>
      <c r="G188">
        <v>177.12110000000001</v>
      </c>
      <c r="H188">
        <v>83</v>
      </c>
      <c r="I188">
        <v>9.5238095238095205E-2</v>
      </c>
    </row>
    <row r="189" spans="1:9" x14ac:dyDescent="0.35">
      <c r="A189" t="s">
        <v>8</v>
      </c>
      <c r="B189" t="str">
        <f>TEXT(Table_sales_dashboard_data[total_sales], "yyyy-mm")</f>
        <v>1901-02</v>
      </c>
      <c r="C189" t="s">
        <v>17</v>
      </c>
      <c r="D189" t="s">
        <v>34</v>
      </c>
      <c r="E189" t="s">
        <v>11</v>
      </c>
      <c r="F189">
        <v>423.69799999999998</v>
      </c>
      <c r="G189">
        <v>149.173</v>
      </c>
      <c r="H189">
        <v>136</v>
      </c>
      <c r="I189">
        <v>6.2068965517241302E-2</v>
      </c>
    </row>
    <row r="190" spans="1:9" x14ac:dyDescent="0.35">
      <c r="A190" t="s">
        <v>15</v>
      </c>
      <c r="B190" t="str">
        <f>TEXT(Table_sales_dashboard_data[total_sales], "yyyy-mm")</f>
        <v>1901-02</v>
      </c>
      <c r="C190" t="s">
        <v>17</v>
      </c>
      <c r="D190" t="s">
        <v>34</v>
      </c>
      <c r="E190" t="s">
        <v>11</v>
      </c>
      <c r="F190">
        <v>422.43200000000002</v>
      </c>
      <c r="G190">
        <v>128.14769999999999</v>
      </c>
      <c r="H190">
        <v>122</v>
      </c>
      <c r="I190">
        <v>0.14000000000000001</v>
      </c>
    </row>
    <row r="191" spans="1:9" x14ac:dyDescent="0.35">
      <c r="A191" t="s">
        <v>22</v>
      </c>
      <c r="B191" t="str">
        <f>TEXT(Table_sales_dashboard_data[total_sales], "yyyy-mm")</f>
        <v>1900-12</v>
      </c>
      <c r="C191" t="s">
        <v>17</v>
      </c>
      <c r="D191" t="s">
        <v>32</v>
      </c>
      <c r="E191" t="s">
        <v>19</v>
      </c>
      <c r="F191">
        <v>365.226</v>
      </c>
      <c r="G191">
        <v>150.43719999999999</v>
      </c>
      <c r="H191">
        <v>87</v>
      </c>
      <c r="I191">
        <v>0.104347826086956</v>
      </c>
    </row>
    <row r="192" spans="1:9" x14ac:dyDescent="0.35">
      <c r="A192" t="s">
        <v>8</v>
      </c>
      <c r="B192" t="str">
        <f>TEXT(Table_sales_dashboard_data[total_sales], "yyyy-mm")</f>
        <v>1900-12</v>
      </c>
      <c r="C192" t="s">
        <v>17</v>
      </c>
      <c r="D192" t="s">
        <v>30</v>
      </c>
      <c r="E192" t="s">
        <v>26</v>
      </c>
      <c r="F192">
        <v>343.03199999999998</v>
      </c>
      <c r="G192">
        <v>29.3979</v>
      </c>
      <c r="H192">
        <v>15</v>
      </c>
      <c r="I192">
        <v>5.7142857142857099E-2</v>
      </c>
    </row>
    <row r="193" spans="1:9" x14ac:dyDescent="0.35">
      <c r="A193" t="s">
        <v>14</v>
      </c>
      <c r="B193" t="str">
        <f>TEXT(Table_sales_dashboard_data[total_sales], "yyyy-mm")</f>
        <v>1900-12</v>
      </c>
      <c r="C193" t="s">
        <v>17</v>
      </c>
      <c r="D193" t="s">
        <v>33</v>
      </c>
      <c r="E193" t="s">
        <v>26</v>
      </c>
      <c r="F193">
        <v>342.892</v>
      </c>
      <c r="G193">
        <v>161.72200000000001</v>
      </c>
      <c r="H193">
        <v>30</v>
      </c>
      <c r="I193">
        <v>4.4444444444444398E-2</v>
      </c>
    </row>
    <row r="194" spans="1:9" x14ac:dyDescent="0.35">
      <c r="A194" t="s">
        <v>8</v>
      </c>
      <c r="B194" t="str">
        <f>TEXT(Table_sales_dashboard_data[total_sales], "yyyy-mm")</f>
        <v>1900-10</v>
      </c>
      <c r="C194" t="s">
        <v>17</v>
      </c>
      <c r="D194" t="s">
        <v>34</v>
      </c>
      <c r="E194" t="s">
        <v>19</v>
      </c>
      <c r="F194">
        <v>286.09199999999998</v>
      </c>
      <c r="G194">
        <v>76.470399999999998</v>
      </c>
      <c r="H194">
        <v>116</v>
      </c>
      <c r="I194">
        <v>0.114285714285714</v>
      </c>
    </row>
    <row r="195" spans="1:9" x14ac:dyDescent="0.35">
      <c r="A195" t="s">
        <v>22</v>
      </c>
      <c r="B195" t="str">
        <f>TEXT(Table_sales_dashboard_data[total_sales], "yyyy-mm")</f>
        <v>1900-10</v>
      </c>
      <c r="C195" t="s">
        <v>17</v>
      </c>
      <c r="D195" t="s">
        <v>34</v>
      </c>
      <c r="E195" t="s">
        <v>11</v>
      </c>
      <c r="F195">
        <v>276.416</v>
      </c>
      <c r="G195">
        <v>114.2714</v>
      </c>
      <c r="H195">
        <v>60</v>
      </c>
      <c r="I195">
        <v>6.15384615384615E-2</v>
      </c>
    </row>
    <row r="196" spans="1:9" x14ac:dyDescent="0.35">
      <c r="A196" t="s">
        <v>15</v>
      </c>
      <c r="B196" t="str">
        <f>TEXT(Table_sales_dashboard_data[total_sales], "yyyy-mm")</f>
        <v>1900-08</v>
      </c>
      <c r="C196" t="s">
        <v>17</v>
      </c>
      <c r="D196" t="s">
        <v>34</v>
      </c>
      <c r="E196" t="s">
        <v>19</v>
      </c>
      <c r="F196">
        <v>232.11</v>
      </c>
      <c r="G196">
        <v>78.556299999999993</v>
      </c>
      <c r="H196">
        <v>71</v>
      </c>
      <c r="I196">
        <v>0.14444444444444399</v>
      </c>
    </row>
    <row r="197" spans="1:9" x14ac:dyDescent="0.35">
      <c r="A197" t="s">
        <v>14</v>
      </c>
      <c r="B197" t="str">
        <f>TEXT(Table_sales_dashboard_data[total_sales], "yyyy-mm")</f>
        <v>1900-07</v>
      </c>
      <c r="C197" t="s">
        <v>17</v>
      </c>
      <c r="D197" t="s">
        <v>34</v>
      </c>
      <c r="E197" t="s">
        <v>19</v>
      </c>
      <c r="F197">
        <v>184.45400000000001</v>
      </c>
      <c r="G197">
        <v>69.306399999999996</v>
      </c>
      <c r="H197">
        <v>50</v>
      </c>
      <c r="I197">
        <v>9.2307692307692299E-2</v>
      </c>
    </row>
    <row r="198" spans="1:9" x14ac:dyDescent="0.35">
      <c r="A198" t="s">
        <v>14</v>
      </c>
      <c r="B198" t="str">
        <f>TEXT(Table_sales_dashboard_data[total_sales], "yyyy-mm")</f>
        <v>1900-06</v>
      </c>
      <c r="C198" t="s">
        <v>17</v>
      </c>
      <c r="D198" t="s">
        <v>34</v>
      </c>
      <c r="E198" t="s">
        <v>26</v>
      </c>
      <c r="F198">
        <v>180.36600000000001</v>
      </c>
      <c r="G198">
        <v>20.675599999999999</v>
      </c>
      <c r="H198">
        <v>58</v>
      </c>
      <c r="I198">
        <v>2.3529411764705799E-2</v>
      </c>
    </row>
    <row r="199" spans="1:9" x14ac:dyDescent="0.35">
      <c r="A199" t="s">
        <v>22</v>
      </c>
      <c r="B199" t="str">
        <f>TEXT(Table_sales_dashboard_data[total_sales], "yyyy-mm")</f>
        <v>1900-06</v>
      </c>
      <c r="C199" t="s">
        <v>17</v>
      </c>
      <c r="D199" t="s">
        <v>30</v>
      </c>
      <c r="E199" t="s">
        <v>26</v>
      </c>
      <c r="F199">
        <v>173.22</v>
      </c>
      <c r="G199">
        <v>43.655999999999999</v>
      </c>
      <c r="H199">
        <v>13</v>
      </c>
      <c r="I199">
        <v>0.08</v>
      </c>
    </row>
    <row r="200" spans="1:9" x14ac:dyDescent="0.35">
      <c r="A200" t="s">
        <v>22</v>
      </c>
      <c r="B200" t="str">
        <f>TEXT(Table_sales_dashboard_data[total_sales], "yyyy-mm")</f>
        <v>1900-05</v>
      </c>
      <c r="C200" t="s">
        <v>17</v>
      </c>
      <c r="D200" t="s">
        <v>34</v>
      </c>
      <c r="E200" t="s">
        <v>26</v>
      </c>
      <c r="F200">
        <v>146.26599999999999</v>
      </c>
      <c r="G200">
        <v>31.876799999999999</v>
      </c>
      <c r="H200">
        <v>30</v>
      </c>
      <c r="I200">
        <v>6.6666666666666596E-2</v>
      </c>
    </row>
    <row r="201" spans="1:9" x14ac:dyDescent="0.35">
      <c r="A201" t="s">
        <v>15</v>
      </c>
      <c r="B201" t="str">
        <f>TEXT(Table_sales_dashboard_data[total_sales], "yyyy-mm")</f>
        <v>1900-05</v>
      </c>
      <c r="C201" t="s">
        <v>17</v>
      </c>
      <c r="D201" t="s">
        <v>34</v>
      </c>
      <c r="E201" t="s">
        <v>26</v>
      </c>
      <c r="F201">
        <v>123.488</v>
      </c>
      <c r="G201">
        <v>29.9146</v>
      </c>
      <c r="H201">
        <v>34</v>
      </c>
      <c r="I201">
        <v>8.5714285714285701E-2</v>
      </c>
    </row>
    <row r="202" spans="1:9" x14ac:dyDescent="0.35">
      <c r="A202" t="s">
        <v>22</v>
      </c>
      <c r="B202" t="str">
        <f>TEXT(Table_sales_dashboard_data[total_sales], "yyyy-mm")</f>
        <v>1900-04</v>
      </c>
      <c r="C202" t="s">
        <v>17</v>
      </c>
      <c r="D202" t="s">
        <v>32</v>
      </c>
      <c r="E202" t="s">
        <v>26</v>
      </c>
      <c r="F202">
        <v>119.732</v>
      </c>
      <c r="G202">
        <v>49.4313</v>
      </c>
      <c r="H202">
        <v>35</v>
      </c>
      <c r="I202">
        <v>0.133333333333333</v>
      </c>
    </row>
    <row r="203" spans="1:9" x14ac:dyDescent="0.35">
      <c r="A203" t="s">
        <v>8</v>
      </c>
      <c r="B203" t="str">
        <f>TEXT(Table_sales_dashboard_data[total_sales], "yyyy-mm")</f>
        <v>1900-04</v>
      </c>
      <c r="C203" t="s">
        <v>17</v>
      </c>
      <c r="D203" t="s">
        <v>34</v>
      </c>
      <c r="E203" t="s">
        <v>26</v>
      </c>
      <c r="F203">
        <v>109.928</v>
      </c>
      <c r="G203">
        <v>38.3474</v>
      </c>
      <c r="H203">
        <v>46</v>
      </c>
      <c r="I203">
        <v>0.12727272727272701</v>
      </c>
    </row>
    <row r="204" spans="1:9" x14ac:dyDescent="0.35">
      <c r="A204" t="s">
        <v>22</v>
      </c>
      <c r="B204" t="str">
        <f>TEXT(Table_sales_dashboard_data[total_sales], "yyyy-mm")</f>
        <v>1900-03</v>
      </c>
      <c r="C204" t="s">
        <v>17</v>
      </c>
      <c r="D204" t="s">
        <v>34</v>
      </c>
      <c r="E204" t="s">
        <v>19</v>
      </c>
      <c r="F204">
        <v>80.634</v>
      </c>
      <c r="G204">
        <v>27.569900000000001</v>
      </c>
      <c r="H204">
        <v>36</v>
      </c>
      <c r="I204">
        <v>0.14285714285714199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tabSelected="1" zoomScale="79" workbookViewId="0">
      <selection activeCell="N21" sqref="N21"/>
    </sheetView>
  </sheetViews>
  <sheetFormatPr defaultRowHeight="14.5" x14ac:dyDescent="0.35"/>
  <cols>
    <col min="1" max="1" width="14.26953125" customWidth="1"/>
    <col min="2" max="2" width="16.26953125" customWidth="1"/>
    <col min="3" max="3" width="17" customWidth="1"/>
    <col min="4" max="4" width="18.26953125" customWidth="1"/>
  </cols>
  <sheetData>
    <row r="1" spans="1:3" ht="21" x14ac:dyDescent="0.5">
      <c r="A1" s="6" t="s">
        <v>38</v>
      </c>
      <c r="B1" s="7"/>
      <c r="C1" s="7"/>
    </row>
    <row r="2" spans="1:3" x14ac:dyDescent="0.35">
      <c r="A2" s="1" t="s">
        <v>40</v>
      </c>
      <c r="B2" t="s">
        <v>36</v>
      </c>
      <c r="C2" t="s">
        <v>37</v>
      </c>
    </row>
    <row r="3" spans="1:3" x14ac:dyDescent="0.35">
      <c r="A3" s="2" t="s">
        <v>15</v>
      </c>
      <c r="B3" s="3">
        <v>501239.89080000005</v>
      </c>
      <c r="C3" s="3">
        <v>39706.362499999988</v>
      </c>
    </row>
    <row r="4" spans="1:3" x14ac:dyDescent="0.35">
      <c r="A4" s="2" t="s">
        <v>8</v>
      </c>
      <c r="B4" s="3">
        <v>678781.24</v>
      </c>
      <c r="C4" s="3">
        <v>91522.78</v>
      </c>
    </row>
    <row r="5" spans="1:3" x14ac:dyDescent="0.35">
      <c r="A5" s="2" t="s">
        <v>22</v>
      </c>
      <c r="B5" s="3">
        <v>391721.90499999991</v>
      </c>
      <c r="C5" s="3">
        <v>46749.430299999993</v>
      </c>
    </row>
    <row r="6" spans="1:3" x14ac:dyDescent="0.35">
      <c r="A6" s="2" t="s">
        <v>14</v>
      </c>
      <c r="B6" s="3">
        <v>725457.82449999987</v>
      </c>
      <c r="C6" s="3">
        <v>108418.44890000002</v>
      </c>
    </row>
    <row r="7" spans="1:3" x14ac:dyDescent="0.35">
      <c r="A7" s="2" t="s">
        <v>35</v>
      </c>
      <c r="B7" s="3">
        <v>2297200.8602999998</v>
      </c>
      <c r="C7" s="3">
        <v>286397.02169999998</v>
      </c>
    </row>
    <row r="10" spans="1:3" ht="21" x14ac:dyDescent="0.5">
      <c r="A10" s="6" t="s">
        <v>39</v>
      </c>
      <c r="B10" s="6"/>
      <c r="C10" s="6"/>
    </row>
    <row r="11" spans="1:3" x14ac:dyDescent="0.35">
      <c r="A11" s="1" t="s">
        <v>41</v>
      </c>
      <c r="B11" t="s">
        <v>36</v>
      </c>
      <c r="C11" t="s">
        <v>37</v>
      </c>
    </row>
    <row r="12" spans="1:3" x14ac:dyDescent="0.35">
      <c r="A12" s="2" t="s">
        <v>9</v>
      </c>
      <c r="B12" s="3">
        <v>741999.7953</v>
      </c>
      <c r="C12" s="3">
        <v>18451.272799999999</v>
      </c>
    </row>
    <row r="13" spans="1:3" x14ac:dyDescent="0.35">
      <c r="A13" s="2" t="s">
        <v>17</v>
      </c>
      <c r="B13" s="3">
        <v>719047.03200000001</v>
      </c>
      <c r="C13" s="3">
        <v>122490.8008</v>
      </c>
    </row>
    <row r="14" spans="1:3" x14ac:dyDescent="0.35">
      <c r="A14" s="2" t="s">
        <v>12</v>
      </c>
      <c r="B14" s="3">
        <v>836154.03300000005</v>
      </c>
      <c r="C14" s="3">
        <v>145454.94810000001</v>
      </c>
    </row>
    <row r="15" spans="1:3" x14ac:dyDescent="0.35">
      <c r="A15" s="2" t="s">
        <v>35</v>
      </c>
      <c r="B15" s="3">
        <v>2297200.8602999998</v>
      </c>
      <c r="C15" s="3">
        <v>286397.02169999998</v>
      </c>
    </row>
    <row r="17" spans="1:3" ht="21" x14ac:dyDescent="0.5">
      <c r="A17" s="6" t="s">
        <v>42</v>
      </c>
      <c r="B17" s="6"/>
      <c r="C17" s="6"/>
    </row>
    <row r="18" spans="1:3" x14ac:dyDescent="0.35">
      <c r="A18" s="1" t="s">
        <v>43</v>
      </c>
      <c r="B18" t="s">
        <v>36</v>
      </c>
      <c r="C18" t="s">
        <v>37</v>
      </c>
    </row>
    <row r="19" spans="1:3" x14ac:dyDescent="0.35">
      <c r="A19" s="2" t="s">
        <v>34</v>
      </c>
      <c r="B19" s="3">
        <v>3024.28</v>
      </c>
      <c r="C19" s="3">
        <v>949.51819999999998</v>
      </c>
    </row>
    <row r="20" spans="1:3" x14ac:dyDescent="0.35">
      <c r="A20" s="2" t="s">
        <v>32</v>
      </c>
      <c r="B20" s="3">
        <v>12486.312</v>
      </c>
      <c r="C20" s="3">
        <v>5546.2539999999999</v>
      </c>
    </row>
    <row r="21" spans="1:3" x14ac:dyDescent="0.35">
      <c r="A21" s="2" t="s">
        <v>33</v>
      </c>
      <c r="B21" s="3">
        <v>16476.401999999998</v>
      </c>
      <c r="C21" s="3">
        <v>6964.1767</v>
      </c>
    </row>
    <row r="22" spans="1:3" x14ac:dyDescent="0.35">
      <c r="A22" s="2" t="s">
        <v>31</v>
      </c>
      <c r="B22" s="3">
        <v>27118.792000000001</v>
      </c>
      <c r="C22" s="3">
        <v>6527.7870000000003</v>
      </c>
    </row>
    <row r="23" spans="1:3" x14ac:dyDescent="0.35">
      <c r="A23" s="2" t="s">
        <v>30</v>
      </c>
      <c r="B23" s="3">
        <v>46673.538</v>
      </c>
      <c r="C23" s="3">
        <v>-1189.0995</v>
      </c>
    </row>
    <row r="24" spans="1:3" x14ac:dyDescent="0.35">
      <c r="A24" s="2" t="s">
        <v>29</v>
      </c>
      <c r="B24" s="3">
        <v>78479.206000000006</v>
      </c>
      <c r="C24" s="3">
        <v>34053.569300000003</v>
      </c>
    </row>
    <row r="25" spans="1:3" x14ac:dyDescent="0.35">
      <c r="A25" s="2" t="s">
        <v>28</v>
      </c>
      <c r="B25" s="3">
        <v>91705.164000000004</v>
      </c>
      <c r="C25" s="3">
        <v>13059.143599999999</v>
      </c>
    </row>
    <row r="26" spans="1:3" x14ac:dyDescent="0.35">
      <c r="A26" s="2" t="s">
        <v>27</v>
      </c>
      <c r="B26" s="3">
        <v>107532.16099999999</v>
      </c>
      <c r="C26" s="3">
        <v>18138.005399999998</v>
      </c>
    </row>
    <row r="27" spans="1:3" x14ac:dyDescent="0.35">
      <c r="A27" s="2" t="s">
        <v>25</v>
      </c>
      <c r="B27" s="3">
        <v>114879.9963</v>
      </c>
      <c r="C27" s="3">
        <v>-3472.556</v>
      </c>
    </row>
    <row r="28" spans="1:3" x14ac:dyDescent="0.35">
      <c r="A28" s="2" t="s">
        <v>24</v>
      </c>
      <c r="B28" s="3">
        <v>149528.03</v>
      </c>
      <c r="C28" s="3">
        <v>55617.8249</v>
      </c>
    </row>
    <row r="29" spans="1:3" x14ac:dyDescent="0.35">
      <c r="A29" s="2" t="s">
        <v>21</v>
      </c>
      <c r="B29" s="3">
        <v>167380.318</v>
      </c>
      <c r="C29" s="3">
        <v>41936.635699999999</v>
      </c>
    </row>
    <row r="30" spans="1:3" x14ac:dyDescent="0.35">
      <c r="A30" s="2" t="s">
        <v>23</v>
      </c>
      <c r="B30" s="3">
        <v>189238.63099999999</v>
      </c>
      <c r="C30" s="3">
        <v>3384.7568999999999</v>
      </c>
    </row>
    <row r="31" spans="1:3" x14ac:dyDescent="0.35">
      <c r="A31" s="2" t="s">
        <v>18</v>
      </c>
      <c r="B31" s="3">
        <v>203412.73300000001</v>
      </c>
      <c r="C31" s="3">
        <v>30221.763299999999</v>
      </c>
    </row>
    <row r="32" spans="1:3" x14ac:dyDescent="0.35">
      <c r="A32" s="2" t="s">
        <v>16</v>
      </c>
      <c r="B32" s="3">
        <v>206965.53200000001</v>
      </c>
      <c r="C32" s="3">
        <v>-17725.481100000001</v>
      </c>
    </row>
    <row r="33" spans="1:3" x14ac:dyDescent="0.35">
      <c r="A33" s="2" t="s">
        <v>20</v>
      </c>
      <c r="B33" s="3">
        <v>223843.60800000001</v>
      </c>
      <c r="C33" s="3">
        <v>21278.826400000002</v>
      </c>
    </row>
    <row r="34" spans="1:3" x14ac:dyDescent="0.35">
      <c r="A34" s="2" t="s">
        <v>10</v>
      </c>
      <c r="B34" s="3">
        <v>328449.103</v>
      </c>
      <c r="C34" s="3">
        <v>26590.166300000001</v>
      </c>
    </row>
    <row r="35" spans="1:3" x14ac:dyDescent="0.35">
      <c r="A35" s="2" t="s">
        <v>13</v>
      </c>
      <c r="B35" s="3">
        <v>330007.054</v>
      </c>
      <c r="C35" s="3">
        <v>44515.730600000003</v>
      </c>
    </row>
    <row r="36" spans="1:3" x14ac:dyDescent="0.35">
      <c r="A36" s="2" t="s">
        <v>35</v>
      </c>
      <c r="B36" s="3">
        <v>2297200.8602999998</v>
      </c>
      <c r="C36" s="3">
        <v>286397.02169999998</v>
      </c>
    </row>
    <row r="38" spans="1:3" ht="21" x14ac:dyDescent="0.5">
      <c r="A38" s="6" t="s">
        <v>45</v>
      </c>
      <c r="B38" s="6"/>
      <c r="C38" s="6"/>
    </row>
    <row r="39" spans="1:3" x14ac:dyDescent="0.35">
      <c r="A39" s="1" t="s">
        <v>44</v>
      </c>
      <c r="B39" t="s">
        <v>36</v>
      </c>
      <c r="C39" t="s">
        <v>37</v>
      </c>
    </row>
    <row r="40" spans="1:3" x14ac:dyDescent="0.35">
      <c r="A40" s="2" t="s">
        <v>11</v>
      </c>
      <c r="B40" s="3">
        <v>1161401.345</v>
      </c>
      <c r="C40" s="3">
        <v>134119.20920000001</v>
      </c>
    </row>
    <row r="41" spans="1:3" x14ac:dyDescent="0.35">
      <c r="A41" s="2" t="s">
        <v>19</v>
      </c>
      <c r="B41" s="3">
        <v>706146.36679999996</v>
      </c>
      <c r="C41" s="3">
        <v>91979.134000000005</v>
      </c>
    </row>
    <row r="42" spans="1:3" x14ac:dyDescent="0.35">
      <c r="A42" s="2" t="s">
        <v>26</v>
      </c>
      <c r="B42" s="3">
        <v>429653.14850000001</v>
      </c>
      <c r="C42" s="3">
        <v>60298.678500000002</v>
      </c>
    </row>
    <row r="43" spans="1:3" x14ac:dyDescent="0.35">
      <c r="A43" s="2" t="s">
        <v>35</v>
      </c>
      <c r="B43" s="3">
        <v>2297200.8602999998</v>
      </c>
      <c r="C43" s="3">
        <v>286397.02169999998</v>
      </c>
    </row>
  </sheetData>
  <mergeCells count="4">
    <mergeCell ref="A10:C10"/>
    <mergeCell ref="A17:C17"/>
    <mergeCell ref="A38:C38"/>
    <mergeCell ref="A1:C1"/>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B3" sqref="B3"/>
    </sheetView>
  </sheetViews>
  <sheetFormatPr defaultRowHeight="14.5" x14ac:dyDescent="0.35"/>
  <cols>
    <col min="1" max="1" width="9.6328125" bestFit="1" customWidth="1"/>
    <col min="2" max="2" width="10" bestFit="1" customWidth="1"/>
    <col min="3" max="3" width="11.1796875" bestFit="1" customWidth="1"/>
    <col min="4" max="4" width="11.54296875" bestFit="1" customWidth="1"/>
  </cols>
  <sheetData>
    <row r="1" spans="1:4" x14ac:dyDescent="0.35">
      <c r="A1" s="4" t="s">
        <v>47</v>
      </c>
      <c r="B1" s="4" t="s">
        <v>47</v>
      </c>
      <c r="C1" s="4" t="s">
        <v>47</v>
      </c>
      <c r="D1" s="4" t="s">
        <v>47</v>
      </c>
    </row>
    <row r="2" spans="1:4" x14ac:dyDescent="0.35">
      <c r="A2" s="5" t="s">
        <v>49</v>
      </c>
      <c r="B2" t="s">
        <v>48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C8B7D6-36F1-4DAD-B554-3440B568A5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Load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2026-03-18T19:29:15Z</dcterms:created>
  <dcterms:modified xsi:type="dcterms:W3CDTF">2026-03-20T13:18:30Z</dcterms:modified>
</cp:coreProperties>
</file>